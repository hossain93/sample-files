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harts/chart16.xml" ContentType="application/vnd.openxmlformats-officedocument.drawingml.chart+xml"/>
  <Override PartName="/xl/drawings/drawing18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آزمایشگاه\آزمایشات خاک_بتن_آسفالت\خاک\"/>
    </mc:Choice>
  </mc:AlternateContent>
  <bookViews>
    <workbookView xWindow="0" yWindow="0" windowWidth="23040" windowHeight="9408" tabRatio="869" activeTab="1"/>
  </bookViews>
  <sheets>
    <sheet name="data" sheetId="2" r:id="rId1"/>
    <sheet name="محاسبات" sheetId="3" r:id="rId2"/>
    <sheet name="chart1" sheetId="4" r:id="rId3"/>
    <sheet name="chart2" sheetId="5" r:id="rId4"/>
    <sheet name="chart3" sheetId="6" r:id="rId5"/>
    <sheet name="chart4" sheetId="7" r:id="rId6"/>
    <sheet name="chart5" sheetId="8" r:id="rId7"/>
    <sheet name="chart6" sheetId="9" r:id="rId8"/>
    <sheet name="chart7" sheetId="10" r:id="rId9"/>
    <sheet name="chart8" sheetId="11" r:id="rId10"/>
    <sheet name="chart9" sheetId="13" r:id="rId11"/>
    <sheet name="chart10" sheetId="14" r:id="rId12"/>
    <sheet name="chart11" sheetId="15" r:id="rId13"/>
    <sheet name="chart12" sheetId="16" r:id="rId14"/>
    <sheet name="chart13" sheetId="17" r:id="rId15"/>
    <sheet name="chart14" sheetId="12" r:id="rId16"/>
    <sheet name="chart15" sheetId="18" r:id="rId17"/>
    <sheet name="chart16" sheetId="19" r:id="rId18"/>
  </sheets>
  <functionGroups builtInGroupCount="18"/>
  <calcPr calcId="162913"/>
</workbook>
</file>

<file path=xl/calcChain.xml><?xml version="1.0" encoding="utf-8"?>
<calcChain xmlns="http://schemas.openxmlformats.org/spreadsheetml/2006/main">
  <c r="O33" i="3" l="1"/>
  <c r="O34" i="3"/>
  <c r="O35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24" i="3"/>
  <c r="J23" i="3"/>
  <c r="AA43" i="15" l="1"/>
  <c r="AA42" i="15"/>
  <c r="AA41" i="15"/>
  <c r="AA40" i="15"/>
  <c r="AA39" i="15"/>
  <c r="AA38" i="15"/>
  <c r="AA37" i="15"/>
  <c r="AA36" i="15"/>
  <c r="AA35" i="15"/>
  <c r="AA34" i="15"/>
  <c r="AA33" i="15"/>
  <c r="AA32" i="15"/>
  <c r="AA31" i="15"/>
  <c r="AA30" i="15"/>
  <c r="AA29" i="15"/>
  <c r="AA28" i="15"/>
  <c r="AA27" i="15"/>
  <c r="AA26" i="15"/>
  <c r="AA25" i="15"/>
  <c r="AA24" i="15"/>
  <c r="AA23" i="15"/>
  <c r="AA22" i="15"/>
  <c r="AA21" i="15"/>
  <c r="AA20" i="15"/>
  <c r="AA19" i="15"/>
  <c r="AA18" i="15"/>
  <c r="AA17" i="15"/>
  <c r="AA16" i="15"/>
  <c r="AA15" i="15"/>
  <c r="AA14" i="15"/>
  <c r="AA13" i="15"/>
  <c r="AA12" i="15"/>
  <c r="AA11" i="15"/>
  <c r="AA10" i="15"/>
  <c r="AA9" i="15"/>
  <c r="AA8" i="15"/>
  <c r="AA7" i="15"/>
  <c r="AA6" i="15"/>
  <c r="AA5" i="15"/>
  <c r="AA4" i="15"/>
  <c r="X2" i="15"/>
  <c r="AA43" i="14"/>
  <c r="AA42" i="14"/>
  <c r="AA41" i="14"/>
  <c r="AA40" i="14"/>
  <c r="AA39" i="14"/>
  <c r="AA38" i="14"/>
  <c r="AA37" i="14"/>
  <c r="AA36" i="14"/>
  <c r="AA35" i="14"/>
  <c r="AA34" i="14"/>
  <c r="AA33" i="14"/>
  <c r="AA32" i="14"/>
  <c r="AA31" i="14"/>
  <c r="AA30" i="14"/>
  <c r="AA29" i="14"/>
  <c r="AA28" i="14"/>
  <c r="AA27" i="14"/>
  <c r="AA26" i="14"/>
  <c r="AA25" i="14"/>
  <c r="AA24" i="14"/>
  <c r="AA23" i="14"/>
  <c r="AA2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4" i="14"/>
  <c r="X2" i="14"/>
  <c r="AA43" i="13"/>
  <c r="AA42" i="13"/>
  <c r="AA41" i="13"/>
  <c r="AA40" i="13"/>
  <c r="AA39" i="13"/>
  <c r="AA38" i="13"/>
  <c r="AA37" i="13"/>
  <c r="AA36" i="13"/>
  <c r="AA35" i="13"/>
  <c r="AA34" i="13"/>
  <c r="AA33" i="13"/>
  <c r="AA32" i="13"/>
  <c r="AA31" i="13"/>
  <c r="AA30" i="13"/>
  <c r="AA29" i="13"/>
  <c r="AA28" i="13"/>
  <c r="AA27" i="13"/>
  <c r="AA26" i="13"/>
  <c r="AA25" i="13"/>
  <c r="AA24" i="13"/>
  <c r="AA23" i="13"/>
  <c r="AA22" i="13"/>
  <c r="AA21" i="13"/>
  <c r="AA20" i="13"/>
  <c r="AA19" i="13"/>
  <c r="AA18" i="13"/>
  <c r="AA17" i="13"/>
  <c r="AA16" i="13"/>
  <c r="AA15" i="13"/>
  <c r="AA14" i="13"/>
  <c r="AA13" i="13"/>
  <c r="AA12" i="13"/>
  <c r="AA11" i="13"/>
  <c r="AA10" i="13"/>
  <c r="AA9" i="13"/>
  <c r="AA8" i="13"/>
  <c r="AA7" i="13"/>
  <c r="AA6" i="13"/>
  <c r="AA5" i="13"/>
  <c r="AA4" i="13"/>
  <c r="X2" i="13"/>
  <c r="AA43" i="11"/>
  <c r="AA42" i="11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X2" i="11"/>
  <c r="AA43" i="10"/>
  <c r="AA42" i="10"/>
  <c r="AA41" i="10"/>
  <c r="AA40" i="10"/>
  <c r="AA39" i="10"/>
  <c r="AA38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AA5" i="10"/>
  <c r="AA4" i="10"/>
  <c r="X2" i="10"/>
  <c r="AA43" i="9"/>
  <c r="AA42" i="9"/>
  <c r="AA41" i="9"/>
  <c r="AA40" i="9"/>
  <c r="AA39" i="9"/>
  <c r="AA38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AA6" i="9"/>
  <c r="AA5" i="9"/>
  <c r="AA4" i="9"/>
  <c r="X2" i="9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X2" i="8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  <c r="X2" i="6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X2" i="5"/>
  <c r="AA43" i="4"/>
  <c r="AA42" i="4"/>
  <c r="AA41" i="4"/>
  <c r="AA40" i="4"/>
  <c r="AA39" i="4"/>
  <c r="AA38" i="4"/>
  <c r="AA37" i="4"/>
  <c r="AA36" i="4"/>
  <c r="AA35" i="4"/>
  <c r="AA34" i="4"/>
  <c r="AA33" i="4"/>
  <c r="AA32" i="4"/>
  <c r="AA31" i="4"/>
  <c r="AA30" i="4"/>
  <c r="AA29" i="4"/>
  <c r="AA28" i="4"/>
  <c r="AA27" i="4"/>
  <c r="AA26" i="4"/>
  <c r="AA25" i="4"/>
  <c r="AA24" i="4"/>
  <c r="AA23" i="4"/>
  <c r="AA22" i="4"/>
  <c r="AA21" i="4"/>
  <c r="AA20" i="4"/>
  <c r="AA19" i="4"/>
  <c r="AA18" i="4"/>
  <c r="AA17" i="4"/>
  <c r="AA16" i="4"/>
  <c r="AA15" i="4"/>
  <c r="AA14" i="4"/>
  <c r="AA13" i="4"/>
  <c r="AA12" i="4"/>
  <c r="AA11" i="4"/>
  <c r="AA10" i="4"/>
  <c r="AA9" i="4"/>
  <c r="AA8" i="4"/>
  <c r="AA7" i="4"/>
  <c r="AA6" i="4"/>
  <c r="AA5" i="4"/>
  <c r="AA4" i="4"/>
  <c r="X2" i="4"/>
  <c r="W3" i="4"/>
  <c r="E11" i="10"/>
  <c r="E11" i="15"/>
  <c r="X3" i="13"/>
  <c r="D11" i="10"/>
  <c r="W3" i="10"/>
  <c r="W3" i="13"/>
  <c r="X3" i="11"/>
  <c r="W3" i="14"/>
  <c r="D11" i="13"/>
  <c r="W3" i="15"/>
  <c r="E11" i="13"/>
  <c r="D11" i="6"/>
  <c r="E11" i="6"/>
  <c r="X3" i="8"/>
  <c r="D11" i="15"/>
  <c r="D11" i="11"/>
  <c r="D11" i="5"/>
  <c r="D11" i="9"/>
  <c r="X3" i="9"/>
  <c r="X3" i="5"/>
  <c r="X3" i="15"/>
  <c r="X3" i="6"/>
  <c r="D11" i="8"/>
  <c r="W3" i="11"/>
  <c r="E11" i="9"/>
  <c r="E11" i="11"/>
  <c r="X3" i="14"/>
  <c r="E11" i="5"/>
  <c r="W3" i="8"/>
  <c r="W3" i="5"/>
  <c r="D11" i="14"/>
  <c r="E11" i="14"/>
  <c r="W3" i="6"/>
  <c r="W3" i="9"/>
  <c r="X3" i="10"/>
  <c r="E11" i="8"/>
  <c r="X3" i="4"/>
  <c r="Y2" i="15" l="1"/>
  <c r="Y2" i="14"/>
  <c r="Y2" i="13"/>
  <c r="Y2" i="11"/>
  <c r="Y2" i="10"/>
  <c r="Y2" i="9"/>
  <c r="Y2" i="8"/>
  <c r="Y2" i="6"/>
  <c r="Y2" i="5"/>
  <c r="Y2" i="4"/>
  <c r="D13" i="15"/>
  <c r="A10" i="15" s="1"/>
  <c r="W34" i="3" s="1"/>
  <c r="E13" i="15"/>
  <c r="B10" i="15" s="1"/>
  <c r="D13" i="14"/>
  <c r="A10" i="14" s="1"/>
  <c r="W33" i="3" s="1"/>
  <c r="E13" i="14"/>
  <c r="B10" i="14" s="1"/>
  <c r="E13" i="13"/>
  <c r="B10" i="13" s="1"/>
  <c r="D13" i="13"/>
  <c r="A10" i="13" s="1"/>
  <c r="W32" i="3" s="1"/>
  <c r="D13" i="11"/>
  <c r="A10" i="11" s="1"/>
  <c r="W31" i="3" s="1"/>
  <c r="E13" i="11"/>
  <c r="B10" i="11" s="1"/>
  <c r="E13" i="10"/>
  <c r="B10" i="10" s="1"/>
  <c r="D13" i="10"/>
  <c r="A10" i="10" s="1"/>
  <c r="W30" i="3" s="1"/>
  <c r="E13" i="9"/>
  <c r="B10" i="9" s="1"/>
  <c r="D13" i="9"/>
  <c r="A10" i="9" s="1"/>
  <c r="W29" i="3" s="1"/>
  <c r="D13" i="8"/>
  <c r="A10" i="8" s="1"/>
  <c r="W28" i="3" s="1"/>
  <c r="E13" i="8"/>
  <c r="B10" i="8" s="1"/>
  <c r="E13" i="6"/>
  <c r="B10" i="6" s="1"/>
  <c r="D13" i="6"/>
  <c r="A10" i="6" s="1"/>
  <c r="W26" i="3" s="1"/>
  <c r="D13" i="5"/>
  <c r="A10" i="5" s="1"/>
  <c r="W25" i="3" s="1"/>
  <c r="E13" i="5"/>
  <c r="B10" i="5" s="1"/>
  <c r="X2" i="7"/>
  <c r="AA43" i="7"/>
  <c r="AA42" i="7"/>
  <c r="AA41" i="7"/>
  <c r="AA40" i="7"/>
  <c r="AA39" i="7"/>
  <c r="AA38" i="7"/>
  <c r="AA37" i="7"/>
  <c r="AA36" i="7"/>
  <c r="AA35" i="7"/>
  <c r="AA34" i="7"/>
  <c r="AA33" i="7"/>
  <c r="AA32" i="7"/>
  <c r="AA31" i="7"/>
  <c r="AA30" i="7"/>
  <c r="AA29" i="7"/>
  <c r="AA28" i="7"/>
  <c r="AA27" i="7"/>
  <c r="AA26" i="7"/>
  <c r="AA25" i="7"/>
  <c r="AA24" i="7"/>
  <c r="AA23" i="7"/>
  <c r="AA22" i="7"/>
  <c r="AA21" i="7"/>
  <c r="AA20" i="7"/>
  <c r="AA19" i="7"/>
  <c r="AA18" i="7"/>
  <c r="AA17" i="7"/>
  <c r="AA16" i="7"/>
  <c r="AA15" i="7"/>
  <c r="AA14" i="7"/>
  <c r="AA13" i="7"/>
  <c r="AA12" i="7"/>
  <c r="AA11" i="7"/>
  <c r="AA10" i="7"/>
  <c r="AA9" i="7"/>
  <c r="AA8" i="7"/>
  <c r="AA7" i="7"/>
  <c r="AA6" i="7"/>
  <c r="AA5" i="7"/>
  <c r="AA4" i="7"/>
  <c r="E11" i="4"/>
  <c r="W3" i="7"/>
  <c r="D11" i="4"/>
  <c r="D11" i="7"/>
  <c r="E11" i="7"/>
  <c r="X3" i="7"/>
  <c r="A17" i="15" l="1"/>
  <c r="A21" i="15" s="1"/>
  <c r="Z34" i="3"/>
  <c r="A17" i="14"/>
  <c r="AD39" i="14" s="1"/>
  <c r="Z33" i="3"/>
  <c r="A17" i="13"/>
  <c r="AD40" i="13" s="1"/>
  <c r="Z32" i="3"/>
  <c r="A17" i="11"/>
  <c r="AD39" i="11" s="1"/>
  <c r="Z31" i="3"/>
  <c r="A17" i="10"/>
  <c r="AD41" i="10" s="1"/>
  <c r="Z30" i="3"/>
  <c r="A17" i="9"/>
  <c r="AD40" i="9" s="1"/>
  <c r="Z29" i="3"/>
  <c r="A17" i="8"/>
  <c r="A21" i="8" s="1"/>
  <c r="AA28" i="3" s="1"/>
  <c r="Z28" i="3"/>
  <c r="A17" i="6"/>
  <c r="AD39" i="6" s="1"/>
  <c r="Z26" i="3"/>
  <c r="A17" i="5"/>
  <c r="AD41" i="5" s="1"/>
  <c r="Z25" i="3"/>
  <c r="AB43" i="15"/>
  <c r="AB20" i="15"/>
  <c r="AB18" i="15"/>
  <c r="AB16" i="15"/>
  <c r="AB14" i="15"/>
  <c r="AB12" i="15"/>
  <c r="AB10" i="15"/>
  <c r="AB8" i="15"/>
  <c r="AB6" i="15"/>
  <c r="AB4" i="15"/>
  <c r="AB42" i="15"/>
  <c r="AB41" i="15"/>
  <c r="AB40" i="15"/>
  <c r="AB39" i="15"/>
  <c r="AB38" i="15"/>
  <c r="AB37" i="15"/>
  <c r="AB36" i="15"/>
  <c r="AB35" i="15"/>
  <c r="AB34" i="15"/>
  <c r="AB33" i="15"/>
  <c r="AB32" i="15"/>
  <c r="AB31" i="15"/>
  <c r="AB30" i="15"/>
  <c r="AB29" i="15"/>
  <c r="AB28" i="15"/>
  <c r="AB27" i="15"/>
  <c r="AB26" i="15"/>
  <c r="AB25" i="15"/>
  <c r="AB24" i="15"/>
  <c r="AB23" i="15"/>
  <c r="AB22" i="15"/>
  <c r="AB21" i="15"/>
  <c r="AB19" i="15"/>
  <c r="AB17" i="15"/>
  <c r="AB15" i="15"/>
  <c r="AB13" i="15"/>
  <c r="AB11" i="15"/>
  <c r="AB9" i="15"/>
  <c r="AB7" i="15"/>
  <c r="AB5" i="15"/>
  <c r="AB3" i="15"/>
  <c r="AB43" i="14"/>
  <c r="AB20" i="14"/>
  <c r="AB18" i="14"/>
  <c r="AB16" i="14"/>
  <c r="AB14" i="14"/>
  <c r="AB12" i="14"/>
  <c r="AB10" i="14"/>
  <c r="AB8" i="14"/>
  <c r="AB6" i="14"/>
  <c r="AB4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19" i="14"/>
  <c r="AB17" i="14"/>
  <c r="AB15" i="14"/>
  <c r="AB13" i="14"/>
  <c r="AB11" i="14"/>
  <c r="AB9" i="14"/>
  <c r="AB7" i="14"/>
  <c r="AB5" i="14"/>
  <c r="AB3" i="14"/>
  <c r="AB43" i="13"/>
  <c r="AB20" i="13"/>
  <c r="AB18" i="13"/>
  <c r="AB16" i="13"/>
  <c r="AB14" i="13"/>
  <c r="AB12" i="13"/>
  <c r="AB10" i="13"/>
  <c r="AB8" i="13"/>
  <c r="AB6" i="13"/>
  <c r="AB4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19" i="13"/>
  <c r="AB17" i="13"/>
  <c r="AB15" i="13"/>
  <c r="AB13" i="13"/>
  <c r="AB11" i="13"/>
  <c r="AB9" i="13"/>
  <c r="AB7" i="13"/>
  <c r="AB5" i="13"/>
  <c r="AB3" i="13"/>
  <c r="AB43" i="11"/>
  <c r="AB20" i="11"/>
  <c r="AB18" i="11"/>
  <c r="AB16" i="11"/>
  <c r="AB14" i="11"/>
  <c r="AB12" i="11"/>
  <c r="AB10" i="11"/>
  <c r="AB8" i="11"/>
  <c r="AB6" i="11"/>
  <c r="AB4" i="11"/>
  <c r="AB31" i="11"/>
  <c r="AB21" i="11"/>
  <c r="AB17" i="11"/>
  <c r="AB13" i="11"/>
  <c r="AB9" i="11"/>
  <c r="AB5" i="11"/>
  <c r="AB42" i="11"/>
  <c r="AB41" i="11"/>
  <c r="AB40" i="11"/>
  <c r="AB39" i="11"/>
  <c r="AB38" i="11"/>
  <c r="AB37" i="11"/>
  <c r="AB36" i="11"/>
  <c r="AB35" i="11"/>
  <c r="AB34" i="11"/>
  <c r="AB33" i="11"/>
  <c r="AB32" i="11"/>
  <c r="AB30" i="11"/>
  <c r="AB29" i="11"/>
  <c r="AB28" i="11"/>
  <c r="AB27" i="11"/>
  <c r="AB26" i="11"/>
  <c r="AB25" i="11"/>
  <c r="AB24" i="11"/>
  <c r="AB23" i="11"/>
  <c r="AB22" i="11"/>
  <c r="AB19" i="11"/>
  <c r="AB15" i="11"/>
  <c r="AB11" i="11"/>
  <c r="AB7" i="11"/>
  <c r="AB3" i="11"/>
  <c r="AB43" i="10"/>
  <c r="AB20" i="10"/>
  <c r="AB18" i="10"/>
  <c r="AB16" i="10"/>
  <c r="AB14" i="10"/>
  <c r="AB12" i="10"/>
  <c r="AB10" i="10"/>
  <c r="AB8" i="10"/>
  <c r="AB6" i="10"/>
  <c r="AB4" i="10"/>
  <c r="AB42" i="10"/>
  <c r="AB41" i="10"/>
  <c r="AB40" i="10"/>
  <c r="AB39" i="10"/>
  <c r="AB38" i="10"/>
  <c r="AB37" i="10"/>
  <c r="AB36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19" i="10"/>
  <c r="AB17" i="10"/>
  <c r="AB15" i="10"/>
  <c r="AB13" i="10"/>
  <c r="AB11" i="10"/>
  <c r="AB9" i="10"/>
  <c r="AB7" i="10"/>
  <c r="AB5" i="10"/>
  <c r="AB3" i="10"/>
  <c r="AB43" i="9"/>
  <c r="AB20" i="9"/>
  <c r="AB18" i="9"/>
  <c r="AB16" i="9"/>
  <c r="AB14" i="9"/>
  <c r="AB12" i="9"/>
  <c r="AB10" i="9"/>
  <c r="AB8" i="9"/>
  <c r="AB6" i="9"/>
  <c r="AB4" i="9"/>
  <c r="AB41" i="9"/>
  <c r="AB40" i="9"/>
  <c r="AB38" i="9"/>
  <c r="AB36" i="9"/>
  <c r="AB34" i="9"/>
  <c r="AB32" i="9"/>
  <c r="AB30" i="9"/>
  <c r="AB28" i="9"/>
  <c r="AB26" i="9"/>
  <c r="AB24" i="9"/>
  <c r="AB22" i="9"/>
  <c r="AB19" i="9"/>
  <c r="AB15" i="9"/>
  <c r="AB11" i="9"/>
  <c r="AB7" i="9"/>
  <c r="AB3" i="9"/>
  <c r="AB42" i="9"/>
  <c r="AB39" i="9"/>
  <c r="AB37" i="9"/>
  <c r="AB35" i="9"/>
  <c r="AB33" i="9"/>
  <c r="AB31" i="9"/>
  <c r="AB29" i="9"/>
  <c r="AB27" i="9"/>
  <c r="AB25" i="9"/>
  <c r="AB23" i="9"/>
  <c r="AB21" i="9"/>
  <c r="AB17" i="9"/>
  <c r="AB13" i="9"/>
  <c r="AB9" i="9"/>
  <c r="AB5" i="9"/>
  <c r="AB43" i="8"/>
  <c r="AB20" i="8"/>
  <c r="AB18" i="8"/>
  <c r="AB16" i="8"/>
  <c r="AB14" i="8"/>
  <c r="AB12" i="8"/>
  <c r="AB10" i="8"/>
  <c r="AB8" i="8"/>
  <c r="AB6" i="8"/>
  <c r="AB4" i="8"/>
  <c r="AB41" i="8"/>
  <c r="AB39" i="8"/>
  <c r="AB37" i="8"/>
  <c r="AB35" i="8"/>
  <c r="AB33" i="8"/>
  <c r="AB31" i="8"/>
  <c r="AB29" i="8"/>
  <c r="AB27" i="8"/>
  <c r="AB25" i="8"/>
  <c r="AB23" i="8"/>
  <c r="AB21" i="8"/>
  <c r="AB17" i="8"/>
  <c r="AB13" i="8"/>
  <c r="AB9" i="8"/>
  <c r="AB5" i="8"/>
  <c r="AB42" i="8"/>
  <c r="AB40" i="8"/>
  <c r="AB38" i="8"/>
  <c r="AB36" i="8"/>
  <c r="AB34" i="8"/>
  <c r="AB32" i="8"/>
  <c r="AB30" i="8"/>
  <c r="AB28" i="8"/>
  <c r="AB26" i="8"/>
  <c r="AB24" i="8"/>
  <c r="AB22" i="8"/>
  <c r="AB19" i="8"/>
  <c r="AB15" i="8"/>
  <c r="AB11" i="8"/>
  <c r="AB7" i="8"/>
  <c r="AB3" i="8"/>
  <c r="AB43" i="6"/>
  <c r="AB20" i="6"/>
  <c r="AB18" i="6"/>
  <c r="AB16" i="6"/>
  <c r="AB14" i="6"/>
  <c r="AB12" i="6"/>
  <c r="AB10" i="6"/>
  <c r="AB8" i="6"/>
  <c r="AB6" i="6"/>
  <c r="AB4" i="6"/>
  <c r="AB41" i="6"/>
  <c r="AB40" i="6"/>
  <c r="AB38" i="6"/>
  <c r="AB36" i="6"/>
  <c r="AB34" i="6"/>
  <c r="AB32" i="6"/>
  <c r="AB30" i="6"/>
  <c r="AB28" i="6"/>
  <c r="AB26" i="6"/>
  <c r="AB24" i="6"/>
  <c r="AB22" i="6"/>
  <c r="AB19" i="6"/>
  <c r="AB15" i="6"/>
  <c r="AB11" i="6"/>
  <c r="AB7" i="6"/>
  <c r="AB3" i="6"/>
  <c r="AB42" i="6"/>
  <c r="AB39" i="6"/>
  <c r="AB37" i="6"/>
  <c r="AB35" i="6"/>
  <c r="AB33" i="6"/>
  <c r="AB31" i="6"/>
  <c r="AB29" i="6"/>
  <c r="AB27" i="6"/>
  <c r="AB25" i="6"/>
  <c r="AB23" i="6"/>
  <c r="AB21" i="6"/>
  <c r="AB17" i="6"/>
  <c r="AB13" i="6"/>
  <c r="AB9" i="6"/>
  <c r="AB5" i="6"/>
  <c r="AB43" i="5"/>
  <c r="AB20" i="5"/>
  <c r="AB18" i="5"/>
  <c r="AB16" i="5"/>
  <c r="AB14" i="5"/>
  <c r="AB12" i="5"/>
  <c r="AB10" i="5"/>
  <c r="AB8" i="5"/>
  <c r="AB6" i="5"/>
  <c r="AB4" i="5"/>
  <c r="AB42" i="5"/>
  <c r="AB41" i="5"/>
  <c r="AB40" i="5"/>
  <c r="AB39" i="5"/>
  <c r="AB38" i="5"/>
  <c r="AB37" i="5"/>
  <c r="AB36" i="5"/>
  <c r="AB35" i="5"/>
  <c r="AB34" i="5"/>
  <c r="AB33" i="5"/>
  <c r="AB32" i="5"/>
  <c r="AB31" i="5"/>
  <c r="AB30" i="5"/>
  <c r="AB29" i="5"/>
  <c r="AB28" i="5"/>
  <c r="AB27" i="5"/>
  <c r="AB26" i="5"/>
  <c r="AB25" i="5"/>
  <c r="AB24" i="5"/>
  <c r="AB23" i="5"/>
  <c r="AB22" i="5"/>
  <c r="AB21" i="5"/>
  <c r="AB19" i="5"/>
  <c r="AB17" i="5"/>
  <c r="AB15" i="5"/>
  <c r="AB13" i="5"/>
  <c r="AB11" i="5"/>
  <c r="AB9" i="5"/>
  <c r="AB7" i="5"/>
  <c r="AB5" i="5"/>
  <c r="AB3" i="5"/>
  <c r="AB43" i="4"/>
  <c r="AB20" i="4"/>
  <c r="AB18" i="4"/>
  <c r="AB16" i="4"/>
  <c r="AB14" i="4"/>
  <c r="AB12" i="4"/>
  <c r="AB10" i="4"/>
  <c r="AB8" i="4"/>
  <c r="AB6" i="4"/>
  <c r="AB4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19" i="4"/>
  <c r="AB17" i="4"/>
  <c r="AB15" i="4"/>
  <c r="AB13" i="4"/>
  <c r="AB11" i="4"/>
  <c r="AB9" i="4"/>
  <c r="AB7" i="4"/>
  <c r="AB5" i="4"/>
  <c r="AB3" i="4"/>
  <c r="E13" i="4"/>
  <c r="B10" i="4" s="1"/>
  <c r="Z24" i="3" s="1"/>
  <c r="D13" i="4"/>
  <c r="A10" i="4" s="1"/>
  <c r="E13" i="7"/>
  <c r="D13" i="7"/>
  <c r="Y2" i="7"/>
  <c r="S40" i="3"/>
  <c r="S39" i="3"/>
  <c r="S38" i="3"/>
  <c r="S37" i="3"/>
  <c r="S36" i="3"/>
  <c r="S34" i="3"/>
  <c r="S33" i="3"/>
  <c r="S32" i="3"/>
  <c r="S31" i="3"/>
  <c r="S30" i="3"/>
  <c r="S29" i="3"/>
  <c r="S28" i="3"/>
  <c r="S27" i="3"/>
  <c r="S26" i="3"/>
  <c r="S25" i="3"/>
  <c r="S24" i="3"/>
  <c r="AD38" i="10" l="1"/>
  <c r="AD28" i="14"/>
  <c r="AD35" i="8"/>
  <c r="AD21" i="13"/>
  <c r="AD33" i="14"/>
  <c r="AD30" i="11"/>
  <c r="AD36" i="14"/>
  <c r="AD40" i="11"/>
  <c r="AD25" i="14"/>
  <c r="AD41" i="14"/>
  <c r="AD33" i="13"/>
  <c r="A21" i="13"/>
  <c r="AE38" i="13" s="1"/>
  <c r="AD28" i="15"/>
  <c r="AD22" i="13"/>
  <c r="AD35" i="15"/>
  <c r="AD32" i="10"/>
  <c r="AD31" i="13"/>
  <c r="AD36" i="15"/>
  <c r="AD41" i="11"/>
  <c r="AD21" i="14"/>
  <c r="AD29" i="14"/>
  <c r="AD37" i="14"/>
  <c r="AD27" i="15"/>
  <c r="AD29" i="11"/>
  <c r="AD24" i="14"/>
  <c r="AD32" i="14"/>
  <c r="AD40" i="14"/>
  <c r="AD26" i="13"/>
  <c r="AD37" i="13"/>
  <c r="AD23" i="15"/>
  <c r="AD31" i="15"/>
  <c r="AD39" i="15"/>
  <c r="AD27" i="13"/>
  <c r="AD38" i="13"/>
  <c r="AD24" i="15"/>
  <c r="AD32" i="15"/>
  <c r="AD40" i="15"/>
  <c r="AD23" i="13"/>
  <c r="AD29" i="13"/>
  <c r="AD34" i="13"/>
  <c r="AD39" i="13"/>
  <c r="AD21" i="15"/>
  <c r="AD25" i="15"/>
  <c r="AD29" i="15"/>
  <c r="AD33" i="15"/>
  <c r="AD37" i="15"/>
  <c r="AD41" i="15"/>
  <c r="AD22" i="10"/>
  <c r="AD25" i="13"/>
  <c r="AD30" i="13"/>
  <c r="AD35" i="13"/>
  <c r="AD41" i="13"/>
  <c r="AD22" i="15"/>
  <c r="AD26" i="15"/>
  <c r="AD30" i="15"/>
  <c r="AD34" i="15"/>
  <c r="AD38" i="15"/>
  <c r="AD26" i="9"/>
  <c r="AD24" i="11"/>
  <c r="AD34" i="11"/>
  <c r="AD22" i="14"/>
  <c r="AD26" i="14"/>
  <c r="AD30" i="14"/>
  <c r="AD34" i="14"/>
  <c r="AD38" i="14"/>
  <c r="A21" i="14"/>
  <c r="AE40" i="14" s="1"/>
  <c r="AD37" i="6"/>
  <c r="AD37" i="9"/>
  <c r="AD25" i="11"/>
  <c r="AD36" i="11"/>
  <c r="AD23" i="14"/>
  <c r="AD27" i="14"/>
  <c r="AD31" i="14"/>
  <c r="AD35" i="14"/>
  <c r="AD27" i="10"/>
  <c r="AD24" i="13"/>
  <c r="AD28" i="13"/>
  <c r="AD32" i="13"/>
  <c r="AD36" i="13"/>
  <c r="A21" i="9"/>
  <c r="AE39" i="9" s="1"/>
  <c r="AD21" i="11"/>
  <c r="AD26" i="11"/>
  <c r="AD32" i="11"/>
  <c r="AD37" i="11"/>
  <c r="A21" i="11"/>
  <c r="AE38" i="11" s="1"/>
  <c r="AD21" i="9"/>
  <c r="AD22" i="11"/>
  <c r="AD28" i="11"/>
  <c r="AD33" i="11"/>
  <c r="AD38" i="11"/>
  <c r="AD23" i="10"/>
  <c r="AD28" i="10"/>
  <c r="AD34" i="10"/>
  <c r="AD39" i="10"/>
  <c r="AD27" i="8"/>
  <c r="AD24" i="10"/>
  <c r="AD30" i="10"/>
  <c r="AD35" i="10"/>
  <c r="AD40" i="10"/>
  <c r="AD28" i="6"/>
  <c r="AD31" i="8"/>
  <c r="AD31" i="9"/>
  <c r="AD26" i="10"/>
  <c r="AD31" i="10"/>
  <c r="AD36" i="10"/>
  <c r="A21" i="10"/>
  <c r="AE40" i="10" s="1"/>
  <c r="AD23" i="11"/>
  <c r="AD27" i="11"/>
  <c r="AD31" i="11"/>
  <c r="AD35" i="11"/>
  <c r="AD29" i="6"/>
  <c r="AD41" i="6"/>
  <c r="AD22" i="9"/>
  <c r="AD27" i="9"/>
  <c r="AD33" i="9"/>
  <c r="AD38" i="9"/>
  <c r="AD21" i="6"/>
  <c r="AD33" i="6"/>
  <c r="AD23" i="9"/>
  <c r="AD29" i="9"/>
  <c r="AD34" i="9"/>
  <c r="AD39" i="9"/>
  <c r="AD25" i="6"/>
  <c r="AD36" i="6"/>
  <c r="AD23" i="8"/>
  <c r="AD39" i="8"/>
  <c r="AD25" i="9"/>
  <c r="AD30" i="9"/>
  <c r="AD35" i="9"/>
  <c r="AD41" i="9"/>
  <c r="AD21" i="10"/>
  <c r="AD25" i="10"/>
  <c r="AD29" i="10"/>
  <c r="AD33" i="10"/>
  <c r="AD37" i="10"/>
  <c r="Y28" i="3"/>
  <c r="AD24" i="8"/>
  <c r="AD28" i="8"/>
  <c r="AD32" i="8"/>
  <c r="AD36" i="8"/>
  <c r="AD40" i="8"/>
  <c r="AD21" i="8"/>
  <c r="AD25" i="8"/>
  <c r="AD29" i="8"/>
  <c r="AD33" i="8"/>
  <c r="AD37" i="8"/>
  <c r="AD41" i="8"/>
  <c r="AD24" i="6"/>
  <c r="AD32" i="6"/>
  <c r="AD40" i="6"/>
  <c r="AD22" i="8"/>
  <c r="AD26" i="8"/>
  <c r="AD30" i="8"/>
  <c r="AD34" i="8"/>
  <c r="AD38" i="8"/>
  <c r="AD24" i="9"/>
  <c r="AD28" i="9"/>
  <c r="AD32" i="9"/>
  <c r="AD36" i="9"/>
  <c r="AD22" i="6"/>
  <c r="AD26" i="6"/>
  <c r="AD30" i="6"/>
  <c r="AD34" i="6"/>
  <c r="AD38" i="6"/>
  <c r="A21" i="6"/>
  <c r="AE40" i="6" s="1"/>
  <c r="AD23" i="6"/>
  <c r="AD27" i="6"/>
  <c r="AD31" i="6"/>
  <c r="AD35" i="6"/>
  <c r="AD23" i="5"/>
  <c r="AD30" i="5"/>
  <c r="AD38" i="5"/>
  <c r="AD24" i="5"/>
  <c r="AD32" i="5"/>
  <c r="AD39" i="5"/>
  <c r="AD27" i="5"/>
  <c r="AD34" i="5"/>
  <c r="AD40" i="5"/>
  <c r="AD22" i="5"/>
  <c r="AD28" i="5"/>
  <c r="AD35" i="5"/>
  <c r="AD26" i="5"/>
  <c r="AD31" i="5"/>
  <c r="AD36" i="5"/>
  <c r="A21" i="5"/>
  <c r="AE41" i="5" s="1"/>
  <c r="AD21" i="5"/>
  <c r="AD25" i="5"/>
  <c r="AD29" i="5"/>
  <c r="AD33" i="5"/>
  <c r="AD37" i="5"/>
  <c r="A17" i="4"/>
  <c r="AD38" i="4" s="1"/>
  <c r="K37" i="3"/>
  <c r="K38" i="3"/>
  <c r="K35" i="3"/>
  <c r="K36" i="3"/>
  <c r="K33" i="3"/>
  <c r="K34" i="3"/>
  <c r="K31" i="3"/>
  <c r="K32" i="3"/>
  <c r="K29" i="3"/>
  <c r="K30" i="3"/>
  <c r="K28" i="3"/>
  <c r="K25" i="3"/>
  <c r="K26" i="3"/>
  <c r="W24" i="3"/>
  <c r="K24" i="3" s="1"/>
  <c r="AE41" i="15"/>
  <c r="AE40" i="15"/>
  <c r="AE39" i="15"/>
  <c r="AE38" i="15"/>
  <c r="AE37" i="15"/>
  <c r="AE36" i="15"/>
  <c r="AE35" i="15"/>
  <c r="AE34" i="15"/>
  <c r="AE33" i="15"/>
  <c r="AE32" i="15"/>
  <c r="AE31" i="15"/>
  <c r="AE30" i="15"/>
  <c r="AE29" i="15"/>
  <c r="AE28" i="15"/>
  <c r="AE27" i="15"/>
  <c r="AE26" i="15"/>
  <c r="AE25" i="15"/>
  <c r="AE24" i="15"/>
  <c r="AE23" i="15"/>
  <c r="AE22" i="15"/>
  <c r="AE21" i="15"/>
  <c r="AE41" i="8"/>
  <c r="AE40" i="8"/>
  <c r="AE39" i="8"/>
  <c r="AE38" i="8"/>
  <c r="AE37" i="8"/>
  <c r="AE36" i="8"/>
  <c r="AE35" i="8"/>
  <c r="AE34" i="8"/>
  <c r="AE33" i="8"/>
  <c r="AE32" i="8"/>
  <c r="AE31" i="8"/>
  <c r="AE30" i="8"/>
  <c r="AE29" i="8"/>
  <c r="AE28" i="8"/>
  <c r="AE27" i="8"/>
  <c r="AE26" i="8"/>
  <c r="AE25" i="8"/>
  <c r="AE24" i="8"/>
  <c r="AE23" i="8"/>
  <c r="AE22" i="8"/>
  <c r="AE21" i="8"/>
  <c r="AB3" i="7"/>
  <c r="AB4" i="7"/>
  <c r="AB8" i="7"/>
  <c r="AB12" i="7"/>
  <c r="AB16" i="7"/>
  <c r="AB20" i="7"/>
  <c r="AB24" i="7"/>
  <c r="AB28" i="7"/>
  <c r="AB32" i="7"/>
  <c r="AB36" i="7"/>
  <c r="AB40" i="7"/>
  <c r="AB5" i="7"/>
  <c r="AB9" i="7"/>
  <c r="AB13" i="7"/>
  <c r="AB17" i="7"/>
  <c r="AB21" i="7"/>
  <c r="AB25" i="7"/>
  <c r="AB29" i="7"/>
  <c r="AB33" i="7"/>
  <c r="AB37" i="7"/>
  <c r="AB41" i="7"/>
  <c r="AB6" i="7"/>
  <c r="AB10" i="7"/>
  <c r="AB14" i="7"/>
  <c r="AB18" i="7"/>
  <c r="AB22" i="7"/>
  <c r="AB26" i="7"/>
  <c r="AB30" i="7"/>
  <c r="AB34" i="7"/>
  <c r="AB38" i="7"/>
  <c r="AB42" i="7"/>
  <c r="AB7" i="7"/>
  <c r="AB11" i="7"/>
  <c r="AB15" i="7"/>
  <c r="AB19" i="7"/>
  <c r="AB23" i="7"/>
  <c r="AB27" i="7"/>
  <c r="AB31" i="7"/>
  <c r="AB35" i="7"/>
  <c r="AB39" i="7"/>
  <c r="AB43" i="7"/>
  <c r="B17" i="4" a="1"/>
  <c r="AE27" i="13" l="1"/>
  <c r="AE36" i="13"/>
  <c r="AE34" i="9"/>
  <c r="AE39" i="13"/>
  <c r="AE41" i="9"/>
  <c r="AE31" i="13"/>
  <c r="AE28" i="13"/>
  <c r="AE23" i="13"/>
  <c r="AE35" i="13"/>
  <c r="AE24" i="13"/>
  <c r="AE32" i="13"/>
  <c r="AE40" i="13"/>
  <c r="AE21" i="13"/>
  <c r="AE25" i="13"/>
  <c r="AE29" i="13"/>
  <c r="AE33" i="13"/>
  <c r="AE37" i="13"/>
  <c r="AE41" i="13"/>
  <c r="AE26" i="9"/>
  <c r="AE22" i="13"/>
  <c r="AE26" i="13"/>
  <c r="AE30" i="13"/>
  <c r="AE34" i="13"/>
  <c r="AE21" i="9"/>
  <c r="AE29" i="9"/>
  <c r="AE36" i="9"/>
  <c r="AE24" i="9"/>
  <c r="AE30" i="9"/>
  <c r="AE37" i="9"/>
  <c r="AE25" i="9"/>
  <c r="AE32" i="9"/>
  <c r="AE40" i="9"/>
  <c r="AE26" i="14"/>
  <c r="AE34" i="14"/>
  <c r="AE21" i="14"/>
  <c r="AE29" i="14"/>
  <c r="AE37" i="14"/>
  <c r="AE37" i="10"/>
  <c r="AE22" i="14"/>
  <c r="AE30" i="14"/>
  <c r="AE38" i="14"/>
  <c r="AE22" i="9"/>
  <c r="AE28" i="9"/>
  <c r="AE33" i="9"/>
  <c r="AE38" i="9"/>
  <c r="AE41" i="11"/>
  <c r="AE25" i="14"/>
  <c r="AE33" i="14"/>
  <c r="AE41" i="14"/>
  <c r="AE23" i="14"/>
  <c r="AE27" i="14"/>
  <c r="AE31" i="14"/>
  <c r="AE35" i="14"/>
  <c r="AE39" i="14"/>
  <c r="AD40" i="4"/>
  <c r="AE24" i="14"/>
  <c r="AE28" i="14"/>
  <c r="AE32" i="14"/>
  <c r="AE36" i="14"/>
  <c r="AE31" i="11"/>
  <c r="AE24" i="11"/>
  <c r="AE35" i="11"/>
  <c r="AE25" i="11"/>
  <c r="AE36" i="11"/>
  <c r="AE29" i="11"/>
  <c r="AE40" i="11"/>
  <c r="AE41" i="10"/>
  <c r="AE21" i="10"/>
  <c r="AE21" i="11"/>
  <c r="AE27" i="11"/>
  <c r="AE32" i="11"/>
  <c r="AE37" i="11"/>
  <c r="AE41" i="6"/>
  <c r="AE23" i="9"/>
  <c r="AE27" i="9"/>
  <c r="AE31" i="9"/>
  <c r="AE35" i="9"/>
  <c r="AE25" i="10"/>
  <c r="AE23" i="11"/>
  <c r="AE28" i="11"/>
  <c r="AE33" i="11"/>
  <c r="AE39" i="11"/>
  <c r="AD25" i="4"/>
  <c r="AD29" i="4"/>
  <c r="AE29" i="10"/>
  <c r="AD35" i="4"/>
  <c r="AE33" i="10"/>
  <c r="AE22" i="11"/>
  <c r="AE26" i="11"/>
  <c r="AE30" i="11"/>
  <c r="AE34" i="11"/>
  <c r="AE22" i="10"/>
  <c r="AE26" i="10"/>
  <c r="AE30" i="10"/>
  <c r="AE34" i="10"/>
  <c r="AE38" i="10"/>
  <c r="AE23" i="10"/>
  <c r="AE27" i="10"/>
  <c r="AE31" i="10"/>
  <c r="AE35" i="10"/>
  <c r="AE39" i="10"/>
  <c r="AE24" i="10"/>
  <c r="AE28" i="10"/>
  <c r="AE32" i="10"/>
  <c r="AE36" i="10"/>
  <c r="AE21" i="6"/>
  <c r="AE25" i="6"/>
  <c r="AD24" i="4"/>
  <c r="AD36" i="4"/>
  <c r="AE37" i="6"/>
  <c r="AE29" i="6"/>
  <c r="AE33" i="6"/>
  <c r="AE22" i="6"/>
  <c r="AE26" i="6"/>
  <c r="AE30" i="6"/>
  <c r="AE34" i="6"/>
  <c r="AE38" i="6"/>
  <c r="AE23" i="6"/>
  <c r="AE27" i="6"/>
  <c r="AE31" i="6"/>
  <c r="AE35" i="6"/>
  <c r="AE39" i="6"/>
  <c r="A21" i="4"/>
  <c r="AE39" i="4" s="1"/>
  <c r="AD31" i="4"/>
  <c r="AD41" i="4"/>
  <c r="AE24" i="6"/>
  <c r="AE28" i="6"/>
  <c r="AE32" i="6"/>
  <c r="AE36" i="6"/>
  <c r="AE26" i="5"/>
  <c r="AE30" i="5"/>
  <c r="AE34" i="5"/>
  <c r="AE22" i="5"/>
  <c r="AE38" i="5"/>
  <c r="AE23" i="5"/>
  <c r="AE27" i="5"/>
  <c r="AE31" i="5"/>
  <c r="AE35" i="5"/>
  <c r="AE39" i="5"/>
  <c r="AE24" i="5"/>
  <c r="AE28" i="5"/>
  <c r="AE32" i="5"/>
  <c r="AE36" i="5"/>
  <c r="AE40" i="5"/>
  <c r="AE21" i="5"/>
  <c r="AE25" i="5"/>
  <c r="AE29" i="5"/>
  <c r="AE33" i="5"/>
  <c r="AE37" i="5"/>
  <c r="AD21" i="4"/>
  <c r="AD27" i="4"/>
  <c r="AD32" i="4"/>
  <c r="AD37" i="4"/>
  <c r="AD23" i="4"/>
  <c r="AD28" i="4"/>
  <c r="AD33" i="4"/>
  <c r="AD39" i="4"/>
  <c r="AD22" i="4"/>
  <c r="AD26" i="4"/>
  <c r="AD30" i="4"/>
  <c r="AD34" i="4"/>
  <c r="B17" i="4"/>
  <c r="B21" i="4" a="1"/>
  <c r="AE41" i="4" l="1"/>
  <c r="AE25" i="4"/>
  <c r="AE33" i="4"/>
  <c r="AE28" i="4"/>
  <c r="AE36" i="4"/>
  <c r="AE21" i="4"/>
  <c r="AE29" i="4"/>
  <c r="AE37" i="4"/>
  <c r="AE24" i="4"/>
  <c r="AE32" i="4"/>
  <c r="AE40" i="4"/>
  <c r="AE22" i="4"/>
  <c r="AE26" i="4"/>
  <c r="AE30" i="4"/>
  <c r="AE34" i="4"/>
  <c r="AE38" i="4"/>
  <c r="AE23" i="4"/>
  <c r="AE27" i="4"/>
  <c r="AE31" i="4"/>
  <c r="AE35" i="4"/>
  <c r="B21" i="4"/>
  <c r="Y33" i="3"/>
  <c r="AA32" i="3"/>
  <c r="Y32" i="3"/>
  <c r="Y31" i="3"/>
  <c r="Y30" i="3"/>
  <c r="Y29" i="3"/>
  <c r="AA26" i="3"/>
  <c r="Y26" i="3"/>
  <c r="Y25" i="3"/>
  <c r="G29" i="19"/>
  <c r="C28" i="19" s="1"/>
  <c r="F29" i="19"/>
  <c r="A28" i="19"/>
  <c r="G20" i="19"/>
  <c r="F20" i="19"/>
  <c r="C16" i="19" s="1"/>
  <c r="D16" i="19"/>
  <c r="B28" i="19" s="1"/>
  <c r="G11" i="19"/>
  <c r="B7" i="19" s="1"/>
  <c r="B16" i="19" s="1"/>
  <c r="F11" i="19"/>
  <c r="A7" i="19"/>
  <c r="A16" i="19" s="1"/>
  <c r="B6" i="19"/>
  <c r="G5" i="19"/>
  <c r="F5" i="19"/>
  <c r="A6" i="19" s="1"/>
  <c r="K10" i="2"/>
  <c r="Q10" i="2" s="1"/>
  <c r="W10" i="2" s="1"/>
  <c r="F10" i="2"/>
  <c r="AD47" i="2"/>
  <c r="AE47" i="2" s="1"/>
  <c r="AB47" i="2"/>
  <c r="AD46" i="2"/>
  <c r="AE46" i="2" s="1"/>
  <c r="AB46" i="2"/>
  <c r="AD45" i="2"/>
  <c r="AE45" i="2" s="1"/>
  <c r="AB45" i="2"/>
  <c r="AD44" i="2"/>
  <c r="AE44" i="2" s="1"/>
  <c r="AB44" i="2"/>
  <c r="AD43" i="2"/>
  <c r="AE43" i="2" s="1"/>
  <c r="AB43" i="2"/>
  <c r="AD42" i="2"/>
  <c r="AE42" i="2" s="1"/>
  <c r="AB42" i="2"/>
  <c r="AD41" i="2"/>
  <c r="AE41" i="2" s="1"/>
  <c r="AB41" i="2"/>
  <c r="AD40" i="2"/>
  <c r="AE40" i="2" s="1"/>
  <c r="AB40" i="2"/>
  <c r="AD39" i="2"/>
  <c r="AE39" i="2" s="1"/>
  <c r="AB39" i="2"/>
  <c r="AD38" i="2"/>
  <c r="AE38" i="2" s="1"/>
  <c r="AB38" i="2"/>
  <c r="AD37" i="2"/>
  <c r="AE37" i="2" s="1"/>
  <c r="AB37" i="2"/>
  <c r="AB36" i="2"/>
  <c r="AE35" i="2"/>
  <c r="AD35" i="2"/>
  <c r="AA33" i="3" l="1"/>
  <c r="AA31" i="3"/>
  <c r="AA30" i="3"/>
  <c r="AA29" i="3"/>
  <c r="AA25" i="3"/>
  <c r="AC34" i="19"/>
  <c r="AC32" i="19"/>
  <c r="AC30" i="19"/>
  <c r="AC27" i="19"/>
  <c r="AC25" i="19"/>
  <c r="AC23" i="19"/>
  <c r="AC21" i="19"/>
  <c r="AC35" i="19"/>
  <c r="AC33" i="19"/>
  <c r="AC31" i="19"/>
  <c r="AC29" i="19"/>
  <c r="AC28" i="19"/>
  <c r="AC26" i="19"/>
  <c r="AC24" i="19"/>
  <c r="AC22" i="19"/>
  <c r="D28" i="19"/>
  <c r="L38" i="3"/>
  <c r="L37" i="3"/>
  <c r="L36" i="3"/>
  <c r="L35" i="3"/>
  <c r="L34" i="3"/>
  <c r="L33" i="3"/>
  <c r="L32" i="3"/>
  <c r="L31" i="3"/>
  <c r="L30" i="3"/>
  <c r="L29" i="3"/>
  <c r="L28" i="3"/>
  <c r="L26" i="3"/>
  <c r="L25" i="3"/>
  <c r="L24" i="3"/>
  <c r="G29" i="18"/>
  <c r="F29" i="18"/>
  <c r="A28" i="18" s="1"/>
  <c r="C28" i="18"/>
  <c r="G20" i="18"/>
  <c r="F20" i="18"/>
  <c r="D16" i="18"/>
  <c r="B28" i="18" s="1"/>
  <c r="C16" i="18"/>
  <c r="G11" i="18"/>
  <c r="B7" i="18" s="1"/>
  <c r="B16" i="18" s="1"/>
  <c r="F11" i="18"/>
  <c r="A7" i="18" s="1"/>
  <c r="A16" i="18" s="1"/>
  <c r="B6" i="18"/>
  <c r="A6" i="18"/>
  <c r="G5" i="18"/>
  <c r="F5" i="18"/>
  <c r="G29" i="17"/>
  <c r="F29" i="17"/>
  <c r="A28" i="17" s="1"/>
  <c r="C28" i="17"/>
  <c r="G20" i="17"/>
  <c r="F20" i="17"/>
  <c r="D16" i="17"/>
  <c r="B28" i="17" s="1"/>
  <c r="C16" i="17"/>
  <c r="G11" i="17"/>
  <c r="B7" i="17" s="1"/>
  <c r="B16" i="17" s="1"/>
  <c r="F11" i="17"/>
  <c r="A7" i="17" s="1"/>
  <c r="A16" i="17" s="1"/>
  <c r="B6" i="17"/>
  <c r="A6" i="17"/>
  <c r="G5" i="17"/>
  <c r="F5" i="17"/>
  <c r="G29" i="16"/>
  <c r="F29" i="16"/>
  <c r="A28" i="16" s="1"/>
  <c r="C28" i="16"/>
  <c r="G20" i="16"/>
  <c r="F20" i="16"/>
  <c r="D16" i="16"/>
  <c r="B28" i="16" s="1"/>
  <c r="C16" i="16"/>
  <c r="G11" i="16"/>
  <c r="B7" i="16" s="1"/>
  <c r="B16" i="16" s="1"/>
  <c r="F11" i="16"/>
  <c r="A7" i="16" s="1"/>
  <c r="A16" i="16" s="1"/>
  <c r="B6" i="16"/>
  <c r="A6" i="16"/>
  <c r="G5" i="16"/>
  <c r="F5" i="16"/>
  <c r="G29" i="12"/>
  <c r="F29" i="12"/>
  <c r="C28" i="12"/>
  <c r="A28" i="12"/>
  <c r="G20" i="12"/>
  <c r="F20" i="12"/>
  <c r="C16" i="12" s="1"/>
  <c r="D16" i="12"/>
  <c r="B28" i="12" s="1"/>
  <c r="G11" i="12"/>
  <c r="B7" i="12" s="1"/>
  <c r="B16" i="12" s="1"/>
  <c r="F11" i="12"/>
  <c r="A7" i="12"/>
  <c r="A16" i="12" s="1"/>
  <c r="G5" i="12"/>
  <c r="B6" i="12" s="1"/>
  <c r="F5" i="12"/>
  <c r="A6" i="12" s="1"/>
  <c r="AD35" i="19" l="1"/>
  <c r="AD33" i="19"/>
  <c r="AD31" i="19"/>
  <c r="AD29" i="19"/>
  <c r="AD28" i="19"/>
  <c r="AD26" i="19"/>
  <c r="AD24" i="19"/>
  <c r="AD22" i="19"/>
  <c r="AD34" i="19"/>
  <c r="AD32" i="19"/>
  <c r="AD30" i="19"/>
  <c r="AD27" i="19"/>
  <c r="AD25" i="19"/>
  <c r="AD23" i="19"/>
  <c r="AD21" i="19"/>
  <c r="AC32" i="18"/>
  <c r="AC27" i="18"/>
  <c r="AC21" i="18"/>
  <c r="AC35" i="18"/>
  <c r="AC33" i="18"/>
  <c r="AC31" i="18"/>
  <c r="AC29" i="18"/>
  <c r="AC28" i="18"/>
  <c r="AC26" i="18"/>
  <c r="AC24" i="18"/>
  <c r="AC22" i="18"/>
  <c r="D28" i="18"/>
  <c r="AC34" i="18"/>
  <c r="AC30" i="18"/>
  <c r="AC25" i="18"/>
  <c r="AC23" i="18"/>
  <c r="AC21" i="17"/>
  <c r="AC35" i="17"/>
  <c r="AC33" i="17"/>
  <c r="AC31" i="17"/>
  <c r="AC29" i="17"/>
  <c r="AC28" i="17"/>
  <c r="AC26" i="17"/>
  <c r="AC24" i="17"/>
  <c r="AC22" i="17"/>
  <c r="D28" i="17"/>
  <c r="AC34" i="17"/>
  <c r="AC32" i="17"/>
  <c r="AC30" i="17"/>
  <c r="AC27" i="17"/>
  <c r="AC25" i="17"/>
  <c r="AC23" i="17"/>
  <c r="AC34" i="16"/>
  <c r="AC25" i="16"/>
  <c r="AC35" i="16"/>
  <c r="AC33" i="16"/>
  <c r="AC31" i="16"/>
  <c r="AC29" i="16"/>
  <c r="AC28" i="16"/>
  <c r="AC26" i="16"/>
  <c r="AC24" i="16"/>
  <c r="AC22" i="16"/>
  <c r="D28" i="16"/>
  <c r="AC32" i="16"/>
  <c r="AC30" i="16"/>
  <c r="AC27" i="16"/>
  <c r="AC23" i="16"/>
  <c r="AC21" i="16"/>
  <c r="N25" i="15"/>
  <c r="N26" i="15"/>
  <c r="N24" i="15"/>
  <c r="N22" i="15"/>
  <c r="N27" i="15"/>
  <c r="N23" i="15"/>
  <c r="AC35" i="12"/>
  <c r="AC33" i="12"/>
  <c r="AC31" i="12"/>
  <c r="AC29" i="12"/>
  <c r="AC28" i="12"/>
  <c r="AC26" i="12"/>
  <c r="AC24" i="12"/>
  <c r="AC22" i="12"/>
  <c r="D28" i="12"/>
  <c r="AC34" i="12"/>
  <c r="AC32" i="12"/>
  <c r="AC30" i="12"/>
  <c r="AC27" i="12"/>
  <c r="AC25" i="12"/>
  <c r="AC23" i="12"/>
  <c r="AC21" i="12"/>
  <c r="D11" i="2"/>
  <c r="F11" i="2"/>
  <c r="G11" i="2" s="1"/>
  <c r="AV9" i="2"/>
  <c r="AW9" i="2"/>
  <c r="BB9" i="2"/>
  <c r="BC9" i="2"/>
  <c r="BH9" i="2"/>
  <c r="BI9" i="2"/>
  <c r="AT10" i="2"/>
  <c r="AZ10" i="2"/>
  <c r="BF10" i="2"/>
  <c r="AT11" i="2"/>
  <c r="AV11" i="2"/>
  <c r="AW11" i="2" s="1"/>
  <c r="AZ11" i="2"/>
  <c r="BB11" i="2"/>
  <c r="BC11" i="2" s="1"/>
  <c r="BF11" i="2"/>
  <c r="BH11" i="2"/>
  <c r="BI11" i="2" s="1"/>
  <c r="AT12" i="2"/>
  <c r="AV12" i="2"/>
  <c r="AW12" i="2" s="1"/>
  <c r="AZ12" i="2"/>
  <c r="BB12" i="2"/>
  <c r="BC12" i="2" s="1"/>
  <c r="BF12" i="2"/>
  <c r="BH12" i="2"/>
  <c r="BI12" i="2" s="1"/>
  <c r="AT13" i="2"/>
  <c r="AV13" i="2"/>
  <c r="AW13" i="2" s="1"/>
  <c r="AZ13" i="2"/>
  <c r="BB13" i="2"/>
  <c r="BC13" i="2" s="1"/>
  <c r="BF13" i="2"/>
  <c r="BH13" i="2"/>
  <c r="BI13" i="2" s="1"/>
  <c r="AT14" i="2"/>
  <c r="AV14" i="2"/>
  <c r="AW14" i="2" s="1"/>
  <c r="AZ14" i="2"/>
  <c r="BB14" i="2"/>
  <c r="BC14" i="2" s="1"/>
  <c r="BF14" i="2"/>
  <c r="BH14" i="2"/>
  <c r="BI14" i="2" s="1"/>
  <c r="AT15" i="2"/>
  <c r="AV15" i="2"/>
  <c r="AW15" i="2" s="1"/>
  <c r="AZ15" i="2"/>
  <c r="BB15" i="2"/>
  <c r="BC15" i="2" s="1"/>
  <c r="BF15" i="2"/>
  <c r="BH15" i="2"/>
  <c r="BI15" i="2" s="1"/>
  <c r="AT16" i="2"/>
  <c r="AV16" i="2"/>
  <c r="AW16" i="2" s="1"/>
  <c r="AZ16" i="2"/>
  <c r="BB16" i="2"/>
  <c r="BC16" i="2" s="1"/>
  <c r="BF16" i="2"/>
  <c r="BH16" i="2"/>
  <c r="BI16" i="2" s="1"/>
  <c r="AT17" i="2"/>
  <c r="AV17" i="2"/>
  <c r="AW17" i="2" s="1"/>
  <c r="AZ17" i="2"/>
  <c r="BB17" i="2"/>
  <c r="BC17" i="2" s="1"/>
  <c r="BF17" i="2"/>
  <c r="BH17" i="2"/>
  <c r="BI17" i="2" s="1"/>
  <c r="AT18" i="2"/>
  <c r="AV18" i="2"/>
  <c r="AW18" i="2" s="1"/>
  <c r="AZ18" i="2"/>
  <c r="BB18" i="2"/>
  <c r="BC18" i="2" s="1"/>
  <c r="BF18" i="2"/>
  <c r="BH18" i="2"/>
  <c r="BI18" i="2" s="1"/>
  <c r="AT19" i="2"/>
  <c r="AV19" i="2"/>
  <c r="AW19" i="2" s="1"/>
  <c r="AZ19" i="2"/>
  <c r="BB19" i="2"/>
  <c r="BC19" i="2" s="1"/>
  <c r="BF19" i="2"/>
  <c r="BH19" i="2"/>
  <c r="BI19" i="2" s="1"/>
  <c r="AT20" i="2"/>
  <c r="AV20" i="2"/>
  <c r="AW20" i="2" s="1"/>
  <c r="AZ20" i="2"/>
  <c r="BB20" i="2"/>
  <c r="BC20" i="2" s="1"/>
  <c r="BF20" i="2"/>
  <c r="BH20" i="2"/>
  <c r="BI20" i="2" s="1"/>
  <c r="AT21" i="2"/>
  <c r="AV21" i="2"/>
  <c r="AW21" i="2" s="1"/>
  <c r="AZ21" i="2"/>
  <c r="BB21" i="2"/>
  <c r="BC21" i="2" s="1"/>
  <c r="BF21" i="2"/>
  <c r="BH21" i="2"/>
  <c r="BI21" i="2" s="1"/>
  <c r="AT22" i="2"/>
  <c r="AV22" i="2"/>
  <c r="AW22" i="2" s="1"/>
  <c r="BF22" i="2"/>
  <c r="BH22" i="2"/>
  <c r="BI22" i="2" s="1"/>
  <c r="AT23" i="2"/>
  <c r="AV23" i="2"/>
  <c r="AW23" i="2" s="1"/>
  <c r="BF23" i="2"/>
  <c r="BH23" i="2"/>
  <c r="BI23" i="2" s="1"/>
  <c r="BO9" i="2"/>
  <c r="BN9" i="2"/>
  <c r="Y35" i="2"/>
  <c r="X35" i="2"/>
  <c r="AQ9" i="2"/>
  <c r="AP9" i="2"/>
  <c r="AK9" i="2"/>
  <c r="AJ9" i="2"/>
  <c r="AE9" i="2"/>
  <c r="AD9" i="2"/>
  <c r="S35" i="2"/>
  <c r="R35" i="2"/>
  <c r="M35" i="2"/>
  <c r="L35" i="2"/>
  <c r="F35" i="2"/>
  <c r="X9" i="2"/>
  <c r="S9" i="2"/>
  <c r="R9" i="2"/>
  <c r="M9" i="2"/>
  <c r="L9" i="2"/>
  <c r="L11" i="2"/>
  <c r="M11" i="2" s="1"/>
  <c r="AP11" i="2"/>
  <c r="AQ11" i="2" s="1"/>
  <c r="AH11" i="2"/>
  <c r="AJ11" i="2"/>
  <c r="AK11" i="2" s="1"/>
  <c r="AD12" i="2"/>
  <c r="AE12" i="2" s="1"/>
  <c r="AD13" i="2"/>
  <c r="AE13" i="2" s="1"/>
  <c r="AD14" i="2"/>
  <c r="AE14" i="2" s="1"/>
  <c r="AD15" i="2"/>
  <c r="AE15" i="2" s="1"/>
  <c r="AD16" i="2"/>
  <c r="AE16" i="2" s="1"/>
  <c r="AD17" i="2"/>
  <c r="AE17" i="2" s="1"/>
  <c r="AD18" i="2"/>
  <c r="AE18" i="2" s="1"/>
  <c r="AD19" i="2"/>
  <c r="AE19" i="2" s="1"/>
  <c r="AD20" i="2"/>
  <c r="AE20" i="2" s="1"/>
  <c r="AD21" i="2"/>
  <c r="AE21" i="2" s="1"/>
  <c r="AD11" i="2"/>
  <c r="AE11" i="2" s="1"/>
  <c r="BN11" i="2"/>
  <c r="BO11" i="2" s="1"/>
  <c r="BN12" i="2"/>
  <c r="BO12" i="2" s="1"/>
  <c r="BN13" i="2"/>
  <c r="BO13" i="2" s="1"/>
  <c r="BN14" i="2"/>
  <c r="BO14" i="2" s="1"/>
  <c r="BN15" i="2"/>
  <c r="BO15" i="2" s="1"/>
  <c r="BN16" i="2"/>
  <c r="BO16" i="2" s="1"/>
  <c r="BN17" i="2"/>
  <c r="BO17" i="2" s="1"/>
  <c r="BN18" i="2"/>
  <c r="BO18" i="2" s="1"/>
  <c r="BN19" i="2"/>
  <c r="BO19" i="2" s="1"/>
  <c r="BN20" i="2"/>
  <c r="BO20" i="2" s="1"/>
  <c r="BN21" i="2"/>
  <c r="BO21" i="2" s="1"/>
  <c r="BN22" i="2"/>
  <c r="BO22" i="2" s="1"/>
  <c r="BN23" i="2"/>
  <c r="BO23" i="2" s="1"/>
  <c r="BL23" i="2"/>
  <c r="BL22" i="2"/>
  <c r="BL21" i="2"/>
  <c r="BL20" i="2"/>
  <c r="BL19" i="2"/>
  <c r="BL18" i="2"/>
  <c r="BL17" i="2"/>
  <c r="BL16" i="2"/>
  <c r="BL15" i="2"/>
  <c r="BL14" i="2"/>
  <c r="BL13" i="2"/>
  <c r="BL12" i="2"/>
  <c r="BL11" i="2"/>
  <c r="BL10" i="2"/>
  <c r="X47" i="2"/>
  <c r="Y47" i="2" s="1"/>
  <c r="V47" i="2"/>
  <c r="AP21" i="2"/>
  <c r="AQ21" i="2" s="1"/>
  <c r="AN21" i="2"/>
  <c r="AJ21" i="2"/>
  <c r="AK21" i="2" s="1"/>
  <c r="AH21" i="2"/>
  <c r="X46" i="2"/>
  <c r="Y46" i="2" s="1"/>
  <c r="V46" i="2"/>
  <c r="AP20" i="2"/>
  <c r="AQ20" i="2" s="1"/>
  <c r="AN20" i="2"/>
  <c r="AJ20" i="2"/>
  <c r="AK20" i="2" s="1"/>
  <c r="AH20" i="2"/>
  <c r="X45" i="2"/>
  <c r="Y45" i="2" s="1"/>
  <c r="V45" i="2"/>
  <c r="AP19" i="2"/>
  <c r="AQ19" i="2" s="1"/>
  <c r="AN19" i="2"/>
  <c r="AJ19" i="2"/>
  <c r="AK19" i="2" s="1"/>
  <c r="AH19" i="2"/>
  <c r="X44" i="2"/>
  <c r="Y44" i="2" s="1"/>
  <c r="V44" i="2"/>
  <c r="AP18" i="2"/>
  <c r="AQ18" i="2" s="1"/>
  <c r="AN18" i="2"/>
  <c r="AJ18" i="2"/>
  <c r="AK18" i="2" s="1"/>
  <c r="AH18" i="2"/>
  <c r="X43" i="2"/>
  <c r="Y43" i="2" s="1"/>
  <c r="V43" i="2"/>
  <c r="AP17" i="2"/>
  <c r="AQ17" i="2" s="1"/>
  <c r="AN17" i="2"/>
  <c r="AJ17" i="2"/>
  <c r="AK17" i="2" s="1"/>
  <c r="AH17" i="2"/>
  <c r="X42" i="2"/>
  <c r="Y42" i="2" s="1"/>
  <c r="V42" i="2"/>
  <c r="AP16" i="2"/>
  <c r="AQ16" i="2" s="1"/>
  <c r="AN16" i="2"/>
  <c r="AJ16" i="2"/>
  <c r="AK16" i="2" s="1"/>
  <c r="AH16" i="2"/>
  <c r="X41" i="2"/>
  <c r="Y41" i="2" s="1"/>
  <c r="V41" i="2"/>
  <c r="AP15" i="2"/>
  <c r="AQ15" i="2" s="1"/>
  <c r="AN15" i="2"/>
  <c r="AJ15" i="2"/>
  <c r="AK15" i="2" s="1"/>
  <c r="AH15" i="2"/>
  <c r="X40" i="2"/>
  <c r="Y40" i="2" s="1"/>
  <c r="V40" i="2"/>
  <c r="AP14" i="2"/>
  <c r="AQ14" i="2" s="1"/>
  <c r="AN14" i="2"/>
  <c r="AJ14" i="2"/>
  <c r="AK14" i="2" s="1"/>
  <c r="AH14" i="2"/>
  <c r="X39" i="2"/>
  <c r="Y39" i="2" s="1"/>
  <c r="V39" i="2"/>
  <c r="AP13" i="2"/>
  <c r="AQ13" i="2" s="1"/>
  <c r="AN13" i="2"/>
  <c r="AJ13" i="2"/>
  <c r="AK13" i="2" s="1"/>
  <c r="AH13" i="2"/>
  <c r="X38" i="2"/>
  <c r="Y38" i="2" s="1"/>
  <c r="V38" i="2"/>
  <c r="AP12" i="2"/>
  <c r="AQ12" i="2" s="1"/>
  <c r="AN12" i="2"/>
  <c r="AJ12" i="2"/>
  <c r="AK12" i="2" s="1"/>
  <c r="AH12" i="2"/>
  <c r="X37" i="2"/>
  <c r="Y37" i="2" s="1"/>
  <c r="V37" i="2"/>
  <c r="AN11" i="2"/>
  <c r="V36" i="2"/>
  <c r="AN10" i="2"/>
  <c r="AH10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P27" i="2"/>
  <c r="R27" i="2"/>
  <c r="S27" i="2" s="1"/>
  <c r="N23" i="3"/>
  <c r="M23" i="3"/>
  <c r="AA34" i="3" l="1"/>
  <c r="Y34" i="3"/>
  <c r="E36" i="2"/>
  <c r="K36" i="2" s="1"/>
  <c r="AD35" i="18"/>
  <c r="AD33" i="18"/>
  <c r="AD31" i="18"/>
  <c r="AD29" i="18"/>
  <c r="AD28" i="18"/>
  <c r="AD26" i="18"/>
  <c r="AD24" i="18"/>
  <c r="AD22" i="18"/>
  <c r="AD32" i="18"/>
  <c r="AD25" i="18"/>
  <c r="AD21" i="18"/>
  <c r="AD34" i="18"/>
  <c r="AD30" i="18"/>
  <c r="AD27" i="18"/>
  <c r="AD23" i="18"/>
  <c r="AD35" i="17"/>
  <c r="AD33" i="17"/>
  <c r="AD31" i="17"/>
  <c r="AD29" i="17"/>
  <c r="AD28" i="17"/>
  <c r="AD26" i="17"/>
  <c r="AD24" i="17"/>
  <c r="AD22" i="17"/>
  <c r="AD34" i="17"/>
  <c r="AD32" i="17"/>
  <c r="AD30" i="17"/>
  <c r="AD27" i="17"/>
  <c r="AD25" i="17"/>
  <c r="AD23" i="17"/>
  <c r="AD21" i="17"/>
  <c r="AD35" i="16"/>
  <c r="AD33" i="16"/>
  <c r="AD31" i="16"/>
  <c r="AD29" i="16"/>
  <c r="AD28" i="16"/>
  <c r="AD26" i="16"/>
  <c r="AD24" i="16"/>
  <c r="AD22" i="16"/>
  <c r="AD27" i="16"/>
  <c r="AD23" i="16"/>
  <c r="AD34" i="16"/>
  <c r="AD32" i="16"/>
  <c r="AD30" i="16"/>
  <c r="AD25" i="16"/>
  <c r="AD21" i="16"/>
  <c r="O26" i="15"/>
  <c r="O24" i="15"/>
  <c r="O22" i="15"/>
  <c r="O27" i="15"/>
  <c r="O25" i="15"/>
  <c r="O23" i="15"/>
  <c r="AD35" i="12"/>
  <c r="AD33" i="12"/>
  <c r="AD31" i="12"/>
  <c r="AD29" i="12"/>
  <c r="AD28" i="12"/>
  <c r="AD26" i="12"/>
  <c r="AD24" i="12"/>
  <c r="AD22" i="12"/>
  <c r="AD34" i="12"/>
  <c r="AD32" i="12"/>
  <c r="AD30" i="12"/>
  <c r="AD27" i="12"/>
  <c r="AD25" i="12"/>
  <c r="AD23" i="12"/>
  <c r="AD21" i="12"/>
  <c r="H23" i="3"/>
  <c r="I23" i="3" s="1"/>
  <c r="F7" i="3"/>
  <c r="P26" i="2"/>
  <c r="R26" i="2"/>
  <c r="S26" i="2" s="1"/>
  <c r="Q36" i="2" l="1"/>
  <c r="W36" i="2" s="1"/>
  <c r="X36" i="2" s="1"/>
  <c r="B10" i="7"/>
  <c r="L27" i="3"/>
  <c r="AC36" i="2" l="1"/>
  <c r="BS4" i="2"/>
  <c r="Z27" i="3"/>
  <c r="A17" i="7"/>
  <c r="A21" i="7" s="1"/>
  <c r="AD36" i="2"/>
  <c r="N27" i="5"/>
  <c r="N24" i="5"/>
  <c r="N23" i="5"/>
  <c r="N25" i="5"/>
  <c r="N22" i="5"/>
  <c r="N26" i="5"/>
  <c r="D10" i="2"/>
  <c r="R37" i="2"/>
  <c r="S37" i="2" s="1"/>
  <c r="R38" i="2"/>
  <c r="S38" i="2" s="1"/>
  <c r="R39" i="2"/>
  <c r="S39" i="2" s="1"/>
  <c r="R40" i="2"/>
  <c r="S40" i="2" s="1"/>
  <c r="R41" i="2"/>
  <c r="S41" i="2" s="1"/>
  <c r="R42" i="2"/>
  <c r="S42" i="2" s="1"/>
  <c r="R43" i="2"/>
  <c r="S43" i="2" s="1"/>
  <c r="R44" i="2"/>
  <c r="S44" i="2" s="1"/>
  <c r="R45" i="2"/>
  <c r="S45" i="2" s="1"/>
  <c r="R46" i="2"/>
  <c r="S46" i="2" s="1"/>
  <c r="R47" i="2"/>
  <c r="S47" i="2" s="1"/>
  <c r="R36" i="2"/>
  <c r="L37" i="2"/>
  <c r="M37" i="2" s="1"/>
  <c r="L38" i="2"/>
  <c r="M38" i="2" s="1"/>
  <c r="L39" i="2"/>
  <c r="M39" i="2" s="1"/>
  <c r="L40" i="2"/>
  <c r="M40" i="2" s="1"/>
  <c r="L41" i="2"/>
  <c r="M41" i="2" s="1"/>
  <c r="L42" i="2"/>
  <c r="M42" i="2" s="1"/>
  <c r="L43" i="2"/>
  <c r="M43" i="2" s="1"/>
  <c r="L44" i="2"/>
  <c r="M44" i="2" s="1"/>
  <c r="L45" i="2"/>
  <c r="M45" i="2" s="1"/>
  <c r="L46" i="2"/>
  <c r="M46" i="2" s="1"/>
  <c r="L47" i="2"/>
  <c r="M47" i="2" s="1"/>
  <c r="L36" i="2"/>
  <c r="F37" i="2"/>
  <c r="G37" i="2" s="1"/>
  <c r="F38" i="2"/>
  <c r="G38" i="2" s="1"/>
  <c r="F39" i="2"/>
  <c r="G39" i="2" s="1"/>
  <c r="F40" i="2"/>
  <c r="G40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36" i="2"/>
  <c r="X11" i="2"/>
  <c r="Y11" i="2" s="1"/>
  <c r="X12" i="2"/>
  <c r="Y12" i="2" s="1"/>
  <c r="X13" i="2"/>
  <c r="Y13" i="2" s="1"/>
  <c r="X14" i="2"/>
  <c r="Y14" i="2" s="1"/>
  <c r="X15" i="2"/>
  <c r="Y15" i="2" s="1"/>
  <c r="X16" i="2"/>
  <c r="Y16" i="2" s="1"/>
  <c r="X17" i="2"/>
  <c r="Y17" i="2" s="1"/>
  <c r="X18" i="2"/>
  <c r="Y18" i="2" s="1"/>
  <c r="X19" i="2"/>
  <c r="Y19" i="2" s="1"/>
  <c r="X20" i="2"/>
  <c r="Y20" i="2" s="1"/>
  <c r="X21" i="2"/>
  <c r="Y21" i="2" s="1"/>
  <c r="X22" i="2"/>
  <c r="Y22" i="2" s="1"/>
  <c r="X23" i="2"/>
  <c r="Y23" i="2" s="1"/>
  <c r="X24" i="2"/>
  <c r="Y24" i="2" s="1"/>
  <c r="X10" i="2"/>
  <c r="R11" i="2"/>
  <c r="S11" i="2" s="1"/>
  <c r="R12" i="2"/>
  <c r="S12" i="2" s="1"/>
  <c r="R13" i="2"/>
  <c r="S13" i="2" s="1"/>
  <c r="R14" i="2"/>
  <c r="S14" i="2" s="1"/>
  <c r="R15" i="2"/>
  <c r="S15" i="2" s="1"/>
  <c r="R16" i="2"/>
  <c r="S16" i="2" s="1"/>
  <c r="R17" i="2"/>
  <c r="S17" i="2" s="1"/>
  <c r="R18" i="2"/>
  <c r="S18" i="2" s="1"/>
  <c r="R19" i="2"/>
  <c r="S19" i="2" s="1"/>
  <c r="R20" i="2"/>
  <c r="S20" i="2" s="1"/>
  <c r="R21" i="2"/>
  <c r="S21" i="2" s="1"/>
  <c r="R22" i="2"/>
  <c r="S22" i="2" s="1"/>
  <c r="R23" i="2"/>
  <c r="S23" i="2" s="1"/>
  <c r="R24" i="2"/>
  <c r="S24" i="2" s="1"/>
  <c r="R25" i="2"/>
  <c r="S25" i="2" s="1"/>
  <c r="R10" i="2"/>
  <c r="L12" i="2"/>
  <c r="M12" i="2" s="1"/>
  <c r="L13" i="2"/>
  <c r="M13" i="2" s="1"/>
  <c r="L14" i="2"/>
  <c r="M14" i="2" s="1"/>
  <c r="L15" i="2"/>
  <c r="M15" i="2" s="1"/>
  <c r="L16" i="2"/>
  <c r="M16" i="2" s="1"/>
  <c r="L17" i="2"/>
  <c r="M17" i="2" s="1"/>
  <c r="L18" i="2"/>
  <c r="M18" i="2" s="1"/>
  <c r="L19" i="2"/>
  <c r="M19" i="2" s="1"/>
  <c r="L20" i="2"/>
  <c r="M20" i="2" s="1"/>
  <c r="L21" i="2"/>
  <c r="M21" i="2" s="1"/>
  <c r="L22" i="2"/>
  <c r="M22" i="2" s="1"/>
  <c r="L23" i="2"/>
  <c r="M23" i="2" s="1"/>
  <c r="L10" i="2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G10" i="2"/>
  <c r="D39" i="2"/>
  <c r="D40" i="2"/>
  <c r="D41" i="2"/>
  <c r="D42" i="2"/>
  <c r="D43" i="2"/>
  <c r="D44" i="2"/>
  <c r="D45" i="2"/>
  <c r="D46" i="2"/>
  <c r="D47" i="2"/>
  <c r="D48" i="2"/>
  <c r="V23" i="2"/>
  <c r="V24" i="2"/>
  <c r="P18" i="2"/>
  <c r="P19" i="2"/>
  <c r="P20" i="2"/>
  <c r="P21" i="2"/>
  <c r="P22" i="2"/>
  <c r="P23" i="2"/>
  <c r="P24" i="2"/>
  <c r="P25" i="2"/>
  <c r="P47" i="2"/>
  <c r="P46" i="2"/>
  <c r="P45" i="2"/>
  <c r="P44" i="2"/>
  <c r="P43" i="2"/>
  <c r="P42" i="2"/>
  <c r="P41" i="2"/>
  <c r="P40" i="2"/>
  <c r="P39" i="2"/>
  <c r="P38" i="2"/>
  <c r="P37" i="2"/>
  <c r="P36" i="2"/>
  <c r="J47" i="2"/>
  <c r="J46" i="2"/>
  <c r="J45" i="2"/>
  <c r="J44" i="2"/>
  <c r="J43" i="2"/>
  <c r="J42" i="2"/>
  <c r="J41" i="2"/>
  <c r="J40" i="2"/>
  <c r="J39" i="2"/>
  <c r="J38" i="2"/>
  <c r="J37" i="2"/>
  <c r="J36" i="2"/>
  <c r="D38" i="2"/>
  <c r="D37" i="2"/>
  <c r="D36" i="2"/>
  <c r="D23" i="2"/>
  <c r="J10" i="2"/>
  <c r="P10" i="2"/>
  <c r="V10" i="2"/>
  <c r="J11" i="2"/>
  <c r="P11" i="2"/>
  <c r="V11" i="2"/>
  <c r="D12" i="2"/>
  <c r="J12" i="2"/>
  <c r="P12" i="2"/>
  <c r="V12" i="2"/>
  <c r="D13" i="2"/>
  <c r="J13" i="2"/>
  <c r="P13" i="2"/>
  <c r="V13" i="2"/>
  <c r="D14" i="2"/>
  <c r="J14" i="2"/>
  <c r="P14" i="2"/>
  <c r="V14" i="2"/>
  <c r="D15" i="2"/>
  <c r="J15" i="2"/>
  <c r="P15" i="2"/>
  <c r="V15" i="2"/>
  <c r="D16" i="2"/>
  <c r="J16" i="2"/>
  <c r="P16" i="2"/>
  <c r="V16" i="2"/>
  <c r="D17" i="2"/>
  <c r="J17" i="2"/>
  <c r="P17" i="2"/>
  <c r="V17" i="2"/>
  <c r="D18" i="2"/>
  <c r="J18" i="2"/>
  <c r="V18" i="2"/>
  <c r="D19" i="2"/>
  <c r="J19" i="2"/>
  <c r="V19" i="2"/>
  <c r="D20" i="2"/>
  <c r="J20" i="2"/>
  <c r="V20" i="2"/>
  <c r="D21" i="2"/>
  <c r="J21" i="2"/>
  <c r="V21" i="2"/>
  <c r="D22" i="2"/>
  <c r="J22" i="2"/>
  <c r="V22" i="2"/>
  <c r="J23" i="2"/>
  <c r="T24" i="3"/>
  <c r="E24" i="3" l="1"/>
  <c r="AC10" i="2"/>
  <c r="AD10" i="2" s="1"/>
  <c r="Y27" i="3"/>
  <c r="Y24" i="3"/>
  <c r="AE38" i="7"/>
  <c r="AD25" i="7"/>
  <c r="AD33" i="7"/>
  <c r="AD26" i="7"/>
  <c r="AD34" i="7"/>
  <c r="AD27" i="7"/>
  <c r="AD35" i="7"/>
  <c r="AD28" i="7"/>
  <c r="AD21" i="7"/>
  <c r="AD29" i="7"/>
  <c r="AD22" i="7"/>
  <c r="AD30" i="7"/>
  <c r="AD23" i="7"/>
  <c r="AD31" i="7"/>
  <c r="AD24" i="7"/>
  <c r="AD32" i="7"/>
  <c r="AD37" i="7"/>
  <c r="AD39" i="7"/>
  <c r="AD41" i="7"/>
  <c r="AD36" i="7"/>
  <c r="AD38" i="7"/>
  <c r="AD40" i="7"/>
  <c r="F24" i="3"/>
  <c r="M10" i="2"/>
  <c r="BM10" i="2"/>
  <c r="BN10" i="2" s="1"/>
  <c r="O23" i="5"/>
  <c r="O25" i="5"/>
  <c r="O22" i="5"/>
  <c r="O27" i="5"/>
  <c r="O26" i="5"/>
  <c r="O24" i="5"/>
  <c r="B17" i="5" a="1"/>
  <c r="C17" i="4"/>
  <c r="B21" i="5" a="1"/>
  <c r="D17" i="4"/>
  <c r="T25" i="3"/>
  <c r="E25" i="3" l="1"/>
  <c r="B21" i="5"/>
  <c r="AA24" i="3"/>
  <c r="AE36" i="7"/>
  <c r="AE29" i="7"/>
  <c r="AA27" i="3"/>
  <c r="AE24" i="7"/>
  <c r="AE26" i="7"/>
  <c r="AE25" i="7"/>
  <c r="AE34" i="7"/>
  <c r="AE41" i="7"/>
  <c r="AE21" i="7"/>
  <c r="AE31" i="7"/>
  <c r="AE28" i="7"/>
  <c r="AE23" i="7"/>
  <c r="AE33" i="7"/>
  <c r="AE32" i="7"/>
  <c r="AE37" i="7"/>
  <c r="AE35" i="7"/>
  <c r="AE27" i="7"/>
  <c r="AE22" i="7"/>
  <c r="AE30" i="7"/>
  <c r="AE40" i="7"/>
  <c r="AE39" i="7"/>
  <c r="B17" i="5"/>
  <c r="B16" i="4"/>
  <c r="S10" i="2"/>
  <c r="AI10" i="2"/>
  <c r="AO10" i="2" s="1"/>
  <c r="D21" i="4"/>
  <c r="B21" i="6" a="1"/>
  <c r="D17" i="5"/>
  <c r="B17" i="6" a="1"/>
  <c r="D16" i="4"/>
  <c r="D21" i="5"/>
  <c r="C21" i="4"/>
  <c r="T26" i="3"/>
  <c r="C21" i="5"/>
  <c r="E26" i="3" l="1"/>
  <c r="B20" i="4"/>
  <c r="B21" i="6"/>
  <c r="B17" i="6"/>
  <c r="Y10" i="2"/>
  <c r="B16" i="5"/>
  <c r="B20" i="5"/>
  <c r="AJ10" i="2"/>
  <c r="G36" i="2"/>
  <c r="H24" i="3"/>
  <c r="N24" i="3"/>
  <c r="G24" i="3"/>
  <c r="F25" i="3"/>
  <c r="C16" i="5"/>
  <c r="T27" i="3"/>
  <c r="C16" i="4"/>
  <c r="C20" i="4"/>
  <c r="B21" i="7" a="1"/>
  <c r="D20" i="4"/>
  <c r="B17" i="7" a="1"/>
  <c r="T36" i="3"/>
  <c r="C21" i="6"/>
  <c r="D17" i="6"/>
  <c r="D21" i="6"/>
  <c r="C17" i="5"/>
  <c r="D16" i="5"/>
  <c r="C20" i="5"/>
  <c r="E36" i="3" l="1"/>
  <c r="E27" i="3"/>
  <c r="B17" i="7"/>
  <c r="B21" i="7"/>
  <c r="E20" i="4"/>
  <c r="X24" i="3" s="1"/>
  <c r="E16" i="5"/>
  <c r="V25" i="3" s="1"/>
  <c r="B16" i="6"/>
  <c r="M36" i="2"/>
  <c r="B20" i="6"/>
  <c r="E16" i="4"/>
  <c r="V24" i="3" s="1"/>
  <c r="AU10" i="2"/>
  <c r="AP10" i="2"/>
  <c r="H25" i="3"/>
  <c r="M24" i="3"/>
  <c r="I24" i="3"/>
  <c r="J24" i="3" s="1"/>
  <c r="O24" i="3" s="1"/>
  <c r="N25" i="3"/>
  <c r="G25" i="3"/>
  <c r="F27" i="3"/>
  <c r="F26" i="3"/>
  <c r="D20" i="5"/>
  <c r="T37" i="3"/>
  <c r="D16" i="6"/>
  <c r="D21" i="7"/>
  <c r="C17" i="6"/>
  <c r="C21" i="7"/>
  <c r="C17" i="7"/>
  <c r="C16" i="6"/>
  <c r="D17" i="7"/>
  <c r="C20" i="6"/>
  <c r="E37" i="3" l="1"/>
  <c r="E20" i="5"/>
  <c r="X25" i="3" s="1"/>
  <c r="S36" i="2"/>
  <c r="BT4" i="2" s="1"/>
  <c r="BO10" i="2" s="1"/>
  <c r="B16" i="7"/>
  <c r="B20" i="7"/>
  <c r="E16" i="6"/>
  <c r="V26" i="3" s="1"/>
  <c r="BA10" i="2"/>
  <c r="BB10" i="2" s="1"/>
  <c r="AV10" i="2"/>
  <c r="G26" i="3"/>
  <c r="N26" i="3"/>
  <c r="G27" i="3"/>
  <c r="N27" i="3"/>
  <c r="M25" i="3"/>
  <c r="I25" i="3"/>
  <c r="J25" i="3" s="1"/>
  <c r="O25" i="3" s="1"/>
  <c r="H26" i="3"/>
  <c r="B17" i="15" a="1"/>
  <c r="T38" i="3"/>
  <c r="D16" i="7"/>
  <c r="D20" i="6"/>
  <c r="C16" i="7"/>
  <c r="T34" i="3"/>
  <c r="D20" i="7"/>
  <c r="B21" i="15" a="1"/>
  <c r="E34" i="3" l="1"/>
  <c r="E38" i="3"/>
  <c r="E20" i="6"/>
  <c r="X26" i="3" s="1"/>
  <c r="Y36" i="2"/>
  <c r="AE36" i="2" s="1"/>
  <c r="E16" i="7"/>
  <c r="V27" i="3" s="1"/>
  <c r="A10" i="7"/>
  <c r="W27" i="3" s="1"/>
  <c r="B21" i="15"/>
  <c r="B17" i="15"/>
  <c r="BG10" i="2"/>
  <c r="BH10" i="2" s="1"/>
  <c r="AE10" i="2"/>
  <c r="M26" i="3"/>
  <c r="H27" i="3"/>
  <c r="I26" i="3"/>
  <c r="J26" i="3" s="1"/>
  <c r="O26" i="3" s="1"/>
  <c r="T40" i="3"/>
  <c r="C21" i="15"/>
  <c r="B17" i="8" a="1"/>
  <c r="T39" i="3"/>
  <c r="C17" i="15"/>
  <c r="T28" i="3"/>
  <c r="B21" i="8" a="1"/>
  <c r="C20" i="7"/>
  <c r="E28" i="3" l="1"/>
  <c r="F28" i="3" s="1"/>
  <c r="K27" i="3"/>
  <c r="M27" i="3" s="1"/>
  <c r="E20" i="7"/>
  <c r="X27" i="3" s="1"/>
  <c r="B17" i="8"/>
  <c r="B21" i="8"/>
  <c r="AK10" i="2"/>
  <c r="B16" i="15"/>
  <c r="B20" i="15"/>
  <c r="G28" i="3"/>
  <c r="N28" i="3"/>
  <c r="I27" i="3"/>
  <c r="J27" i="3" s="1"/>
  <c r="O27" i="3" s="1"/>
  <c r="H28" i="3"/>
  <c r="D17" i="15"/>
  <c r="B17" i="9" a="1"/>
  <c r="D20" i="15"/>
  <c r="B21" i="9" a="1"/>
  <c r="D21" i="15"/>
  <c r="T29" i="3"/>
  <c r="D17" i="8"/>
  <c r="D21" i="8"/>
  <c r="C16" i="15"/>
  <c r="C17" i="8"/>
  <c r="E29" i="3" l="1"/>
  <c r="B21" i="9"/>
  <c r="B17" i="9"/>
  <c r="AQ10" i="2"/>
  <c r="B20" i="8"/>
  <c r="B16" i="8"/>
  <c r="M28" i="3"/>
  <c r="I28" i="3"/>
  <c r="J28" i="3" s="1"/>
  <c r="O28" i="3" s="1"/>
  <c r="C16" i="8"/>
  <c r="T30" i="3"/>
  <c r="C21" i="8"/>
  <c r="C17" i="9"/>
  <c r="C21" i="9"/>
  <c r="D21" i="9"/>
  <c r="D16" i="15"/>
  <c r="C20" i="15"/>
  <c r="B17" i="10" a="1"/>
  <c r="C20" i="8"/>
  <c r="B21" i="10" a="1"/>
  <c r="D17" i="9"/>
  <c r="E30" i="3" l="1"/>
  <c r="F30" i="3"/>
  <c r="F29" i="3"/>
  <c r="E20" i="15"/>
  <c r="X34" i="3" s="1"/>
  <c r="E16" i="15"/>
  <c r="V34" i="3" s="1"/>
  <c r="B21" i="10"/>
  <c r="B17" i="10"/>
  <c r="B20" i="9"/>
  <c r="AW10" i="2"/>
  <c r="B16" i="9"/>
  <c r="B21" i="11" a="1"/>
  <c r="T31" i="3"/>
  <c r="D21" i="10"/>
  <c r="C17" i="10"/>
  <c r="D20" i="8"/>
  <c r="C20" i="9"/>
  <c r="B17" i="11" a="1"/>
  <c r="D17" i="10"/>
  <c r="C16" i="9"/>
  <c r="D16" i="8"/>
  <c r="E31" i="3" l="1"/>
  <c r="H29" i="3"/>
  <c r="G29" i="3"/>
  <c r="N29" i="3"/>
  <c r="G30" i="3"/>
  <c r="N30" i="3"/>
  <c r="F31" i="3"/>
  <c r="E20" i="8"/>
  <c r="X28" i="3" s="1"/>
  <c r="E16" i="8"/>
  <c r="V28" i="3" s="1"/>
  <c r="B17" i="11"/>
  <c r="B21" i="11"/>
  <c r="B20" i="10"/>
  <c r="B16" i="10"/>
  <c r="BC10" i="2"/>
  <c r="T32" i="3"/>
  <c r="D17" i="11"/>
  <c r="D20" i="9"/>
  <c r="C21" i="10"/>
  <c r="D16" i="9"/>
  <c r="B17" i="13" a="1"/>
  <c r="D21" i="11"/>
  <c r="C17" i="11"/>
  <c r="B21" i="13" a="1"/>
  <c r="C20" i="10"/>
  <c r="C16" i="10"/>
  <c r="E32" i="3" l="1"/>
  <c r="G31" i="3"/>
  <c r="N31" i="3"/>
  <c r="I29" i="3"/>
  <c r="J29" i="3" s="1"/>
  <c r="O29" i="3" s="1"/>
  <c r="H30" i="3"/>
  <c r="M29" i="3"/>
  <c r="E16" i="9"/>
  <c r="V29" i="3" s="1"/>
  <c r="E20" i="9"/>
  <c r="X29" i="3" s="1"/>
  <c r="B21" i="13"/>
  <c r="B17" i="13"/>
  <c r="BI10" i="2"/>
  <c r="B20" i="11"/>
  <c r="B16" i="11"/>
  <c r="D20" i="10"/>
  <c r="B21" i="14" a="1"/>
  <c r="T33" i="3"/>
  <c r="C20" i="11"/>
  <c r="C16" i="11"/>
  <c r="B17" i="14" a="1"/>
  <c r="C21" i="11"/>
  <c r="C17" i="13"/>
  <c r="D17" i="13"/>
  <c r="D21" i="13"/>
  <c r="D16" i="10"/>
  <c r="E33" i="3" l="1"/>
  <c r="H31" i="3"/>
  <c r="M30" i="3"/>
  <c r="I30" i="3"/>
  <c r="J30" i="3" s="1"/>
  <c r="O30" i="3" s="1"/>
  <c r="E20" i="10"/>
  <c r="X30" i="3" s="1"/>
  <c r="E16" i="10"/>
  <c r="V30" i="3" s="1"/>
  <c r="B17" i="14"/>
  <c r="B21" i="14"/>
  <c r="B16" i="13"/>
  <c r="B20" i="13"/>
  <c r="D16" i="13"/>
  <c r="D17" i="14"/>
  <c r="D21" i="14"/>
  <c r="C21" i="13"/>
  <c r="D20" i="11"/>
  <c r="D16" i="11"/>
  <c r="D20" i="13"/>
  <c r="C17" i="14"/>
  <c r="I31" i="3" l="1"/>
  <c r="J31" i="3" s="1"/>
  <c r="M31" i="3"/>
  <c r="E16" i="11"/>
  <c r="V31" i="3" s="1"/>
  <c r="E20" i="11"/>
  <c r="X31" i="3" s="1"/>
  <c r="B20" i="14"/>
  <c r="B16" i="14"/>
  <c r="C21" i="14"/>
  <c r="C16" i="14"/>
  <c r="C16" i="13"/>
  <c r="C20" i="13"/>
  <c r="D20" i="14"/>
  <c r="O32" i="3" l="1"/>
  <c r="O31" i="3"/>
  <c r="E20" i="13"/>
  <c r="X32" i="3" s="1"/>
  <c r="E16" i="13"/>
  <c r="V32" i="3" s="1"/>
  <c r="C20" i="14"/>
  <c r="D16" i="14"/>
  <c r="E16" i="14" l="1"/>
  <c r="V33" i="3" s="1"/>
  <c r="E20" i="14"/>
  <c r="X33" i="3" s="1"/>
</calcChain>
</file>

<file path=xl/sharedStrings.xml><?xml version="1.0" encoding="utf-8"?>
<sst xmlns="http://schemas.openxmlformats.org/spreadsheetml/2006/main" count="775" uniqueCount="140">
  <si>
    <t>زمان t</t>
  </si>
  <si>
    <t>min</t>
  </si>
  <si>
    <t>mm</t>
  </si>
  <si>
    <t>√t</t>
  </si>
  <si>
    <t>قرائت گیج</t>
  </si>
  <si>
    <t xml:space="preserve"> ارتفاع</t>
  </si>
  <si>
    <t>h0=(mm)</t>
  </si>
  <si>
    <t>دقت گیج</t>
  </si>
  <si>
    <t>شماره کار</t>
  </si>
  <si>
    <t>103/3</t>
  </si>
  <si>
    <t>شماره نمونه:</t>
  </si>
  <si>
    <t>شماره گمانه:</t>
  </si>
  <si>
    <t>عمق نمونه (m):</t>
  </si>
  <si>
    <t>تاریخ نمونه برداری:</t>
  </si>
  <si>
    <t>تاریخ آزمایش:</t>
  </si>
  <si>
    <t>نوع تحکیم سنج:</t>
  </si>
  <si>
    <r>
      <t>وزن مخصوص نسبی (G</t>
    </r>
    <r>
      <rPr>
        <vertAlign val="subscript"/>
        <sz val="10"/>
        <rFont val="Arial"/>
        <family val="2"/>
      </rPr>
      <t>s</t>
    </r>
    <r>
      <rPr>
        <sz val="10"/>
        <rFont val="Arial"/>
      </rPr>
      <t>):</t>
    </r>
  </si>
  <si>
    <t>پروژه:</t>
  </si>
  <si>
    <t>قطر حلقه نمونه گیر(cm):</t>
  </si>
  <si>
    <r>
      <t>سطح حلقه 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</si>
  <si>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t>ارتفاع حلقه (cm):</t>
  </si>
  <si>
    <t>تعین درصد رطوبت اولیه</t>
  </si>
  <si>
    <t>وزن قوطی + خاک تر(gr):</t>
  </si>
  <si>
    <t>وزن قوطی + خاک خشک(gr):</t>
  </si>
  <si>
    <t>وزن قوطی (gr):</t>
  </si>
  <si>
    <t>وزن آب(gr):</t>
  </si>
  <si>
    <t>وزن خاک خشک(gr):</t>
  </si>
  <si>
    <t>درصد رطوبت اولیه:</t>
  </si>
  <si>
    <t>داده های اولیه آزمایش</t>
  </si>
  <si>
    <t>توصیف خاک:</t>
  </si>
  <si>
    <t>ارتفاع اولیه خاک:</t>
  </si>
  <si>
    <t>وزن نمونه + حلقه نمونه گیر قبل آزمایش:</t>
  </si>
  <si>
    <t>درجه اشباع اولیه خاک:</t>
  </si>
  <si>
    <r>
      <t>H</t>
    </r>
    <r>
      <rPr>
        <vertAlign val="subscript"/>
        <sz val="10"/>
        <rFont val="Arial"/>
        <family val="2"/>
      </rPr>
      <t>i</t>
    </r>
  </si>
  <si>
    <r>
      <t>W</t>
    </r>
    <r>
      <rPr>
        <vertAlign val="subscript"/>
        <sz val="10"/>
        <rFont val="Arial"/>
        <family val="2"/>
      </rPr>
      <t>t</t>
    </r>
  </si>
  <si>
    <r>
      <t>W</t>
    </r>
    <r>
      <rPr>
        <vertAlign val="subscript"/>
        <sz val="10"/>
        <rFont val="Arial"/>
        <family val="2"/>
      </rPr>
      <t>s</t>
    </r>
  </si>
  <si>
    <r>
      <t>W'</t>
    </r>
    <r>
      <rPr>
        <vertAlign val="subscript"/>
        <sz val="10"/>
        <rFont val="Arial"/>
        <family val="2"/>
      </rPr>
      <t>s</t>
    </r>
  </si>
  <si>
    <r>
      <t>H</t>
    </r>
    <r>
      <rPr>
        <vertAlign val="subscript"/>
        <sz val="10"/>
        <rFont val="Arial"/>
        <family val="2"/>
      </rPr>
      <t>s</t>
    </r>
  </si>
  <si>
    <r>
      <t>H</t>
    </r>
    <r>
      <rPr>
        <vertAlign val="subscript"/>
        <sz val="10"/>
        <rFont val="Arial"/>
        <family val="2"/>
      </rPr>
      <t>v</t>
    </r>
  </si>
  <si>
    <r>
      <t>S</t>
    </r>
    <r>
      <rPr>
        <vertAlign val="subscript"/>
        <sz val="10"/>
        <rFont val="Arial"/>
        <family val="2"/>
      </rPr>
      <t>i</t>
    </r>
  </si>
  <si>
    <r>
      <t>e</t>
    </r>
    <r>
      <rPr>
        <vertAlign val="subscript"/>
        <sz val="10"/>
        <rFont val="Arial"/>
        <family val="2"/>
      </rPr>
      <t>0</t>
    </r>
  </si>
  <si>
    <t>وزن حلقه (gr):</t>
  </si>
  <si>
    <t>وزن نمونه تر در حلقه نمونه گیر (gr):</t>
  </si>
  <si>
    <t>وزن نمونه خشک محاسبه شده (gr):</t>
  </si>
  <si>
    <t>وزن نمونه خشک شده در گرم خانه (gr):</t>
  </si>
  <si>
    <t>ارتفاع قسمت جامد خاک (cm):</t>
  </si>
  <si>
    <t>ارتفاع تخلخل اولیه خاک (cm):</t>
  </si>
  <si>
    <r>
      <t>W</t>
    </r>
    <r>
      <rPr>
        <vertAlign val="subscript"/>
        <sz val="10"/>
        <rFont val="0 Fantezy"/>
        <charset val="178"/>
      </rPr>
      <t>t</t>
    </r>
    <r>
      <rPr>
        <sz val="10"/>
        <rFont val="0 Fantezy"/>
        <charset val="178"/>
      </rPr>
      <t>/(1+ω)</t>
    </r>
  </si>
  <si>
    <r>
      <t>W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/(G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Aρ</t>
    </r>
    <r>
      <rPr>
        <vertAlign val="subscript"/>
        <sz val="10"/>
        <rFont val="Arial"/>
        <family val="2"/>
      </rPr>
      <t>w</t>
    </r>
    <r>
      <rPr>
        <sz val="10"/>
        <rFont val="Arial"/>
        <family val="2"/>
      </rPr>
      <t>)</t>
    </r>
  </si>
  <si>
    <r>
      <t>H</t>
    </r>
    <r>
      <rPr>
        <vertAlign val="subscript"/>
        <sz val="10"/>
        <rFont val="Arial"/>
        <family val="2"/>
      </rPr>
      <t>0</t>
    </r>
    <r>
      <rPr>
        <sz val="10"/>
        <rFont val="Arial"/>
      </rPr>
      <t>-H</t>
    </r>
    <r>
      <rPr>
        <vertAlign val="subscript"/>
        <sz val="10"/>
        <rFont val="Arial"/>
        <family val="2"/>
      </rPr>
      <t>s</t>
    </r>
  </si>
  <si>
    <r>
      <t>(W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-W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)/(H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-H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)Aρ</t>
    </r>
    <r>
      <rPr>
        <vertAlign val="subscript"/>
        <sz val="10"/>
        <rFont val="Arial"/>
        <family val="2"/>
      </rPr>
      <t>w</t>
    </r>
  </si>
  <si>
    <r>
      <t>H</t>
    </r>
    <r>
      <rPr>
        <vertAlign val="subscript"/>
        <sz val="10"/>
        <rFont val="Arial"/>
        <family val="2"/>
      </rPr>
      <t>v</t>
    </r>
    <r>
      <rPr>
        <sz val="10"/>
        <rFont val="Arial"/>
      </rPr>
      <t>/H</t>
    </r>
    <r>
      <rPr>
        <vertAlign val="subscript"/>
        <sz val="10"/>
        <rFont val="Arial"/>
        <family val="2"/>
      </rPr>
      <t>s</t>
    </r>
  </si>
  <si>
    <t>درجه اشباع و رطوبت نهایی</t>
  </si>
  <si>
    <t>درجه اشباع نهایی:</t>
  </si>
  <si>
    <t>درصد رطوبت نهایی:</t>
  </si>
  <si>
    <t>وزن نمونه خشک (gr)</t>
  </si>
  <si>
    <t>وزن نهایی نمونه خشک + حلقه (gr):</t>
  </si>
  <si>
    <t>وزن نهایی نمونه تر + حلقه (gr):</t>
  </si>
  <si>
    <t>قرائت اولیه گیج:</t>
  </si>
  <si>
    <t>نسبت تخلخل اولیه خاک:</t>
  </si>
  <si>
    <r>
      <rPr>
        <sz val="10"/>
        <rFont val="Calibri"/>
        <family val="2"/>
      </rPr>
      <t>Δ</t>
    </r>
    <r>
      <rPr>
        <sz val="10"/>
        <rFont val="Arial"/>
        <family val="2"/>
      </rPr>
      <t>H</t>
    </r>
  </si>
  <si>
    <r>
      <t>H</t>
    </r>
    <r>
      <rPr>
        <vertAlign val="subscript"/>
        <sz val="10"/>
        <rFont val="Arial"/>
        <family val="2"/>
      </rPr>
      <t>vf</t>
    </r>
  </si>
  <si>
    <t>قرائت نهایی گیج:</t>
  </si>
  <si>
    <t>تغییر ارتفاع نمونه (cm):</t>
  </si>
  <si>
    <t>ارتفاع تخلخل نهایی (cm):</t>
  </si>
  <si>
    <t>نسبت تخلخل نهایی:</t>
  </si>
  <si>
    <r>
      <t>e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=H</t>
    </r>
    <r>
      <rPr>
        <vertAlign val="subscript"/>
        <sz val="10"/>
        <rFont val="Arial"/>
        <family val="2"/>
      </rPr>
      <t>vf</t>
    </r>
    <r>
      <rPr>
        <sz val="10"/>
        <rFont val="Arial"/>
        <family val="2"/>
      </rPr>
      <t>/H</t>
    </r>
    <r>
      <rPr>
        <vertAlign val="subscript"/>
        <sz val="10"/>
        <rFont val="Arial"/>
        <family val="2"/>
      </rPr>
      <t>s</t>
    </r>
  </si>
  <si>
    <t>داده های نهایی آزمایش</t>
  </si>
  <si>
    <r>
      <t>بارگذاری
kg/cm</t>
    </r>
    <r>
      <rPr>
        <vertAlign val="superscript"/>
        <sz val="10"/>
        <rFont val="Arial"/>
        <family val="2"/>
      </rPr>
      <t>2</t>
    </r>
  </si>
  <si>
    <t>قرائت گیج در آخر هر بارگذاری (mm)</t>
  </si>
  <si>
    <t xml:space="preserve">تغییر ارتفاع نمونه
ΔH(mm) </t>
  </si>
  <si>
    <r>
      <t>تغییر نسبت تخلخل
Δe=ΔH/H</t>
    </r>
    <r>
      <rPr>
        <vertAlign val="subscript"/>
        <sz val="10"/>
        <rFont val="Arial"/>
        <family val="2"/>
      </rPr>
      <t>s</t>
    </r>
  </si>
  <si>
    <t>نسبت تخلخل در اول هر بارگذاری e</t>
  </si>
  <si>
    <r>
      <t>ضریب تحکیم
C</t>
    </r>
    <r>
      <rPr>
        <vertAlign val="subscript"/>
        <sz val="10"/>
        <rFont val="Arial"/>
        <family val="2"/>
      </rPr>
      <t>v</t>
    </r>
    <r>
      <rPr>
        <sz val="10"/>
        <rFont val="Arial"/>
      </rPr>
      <t xml:space="preserve"> (mm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/min)</t>
    </r>
  </si>
  <si>
    <r>
      <t>کرنش محوری
 (%)</t>
    </r>
    <r>
      <rPr>
        <sz val="10"/>
        <rFont val="Calibri"/>
        <family val="2"/>
      </rPr>
      <t>ɛ</t>
    </r>
  </si>
  <si>
    <t>t</t>
  </si>
  <si>
    <t>d</t>
  </si>
  <si>
    <t>تنظیم دقت spin bar</t>
  </si>
  <si>
    <t>t*1.15</t>
  </si>
  <si>
    <r>
      <t>d</t>
    </r>
    <r>
      <rPr>
        <vertAlign val="subscript"/>
        <sz val="10"/>
        <rFont val="Arial"/>
        <family val="2"/>
      </rPr>
      <t>90</t>
    </r>
  </si>
  <si>
    <r>
      <t>T</t>
    </r>
    <r>
      <rPr>
        <vertAlign val="subscript"/>
        <sz val="10"/>
        <rFont val="Arial"/>
        <family val="2"/>
      </rPr>
      <t>90</t>
    </r>
  </si>
  <si>
    <r>
      <t>d</t>
    </r>
    <r>
      <rPr>
        <vertAlign val="subscript"/>
        <sz val="10"/>
        <rFont val="Arial"/>
        <family val="2"/>
      </rPr>
      <t>100</t>
    </r>
  </si>
  <si>
    <r>
      <t>d</t>
    </r>
    <r>
      <rPr>
        <vertAlign val="subscript"/>
        <sz val="10"/>
        <rFont val="Arial"/>
        <family val="2"/>
      </rPr>
      <t>50</t>
    </r>
  </si>
  <si>
    <t>d100</t>
  </si>
  <si>
    <t>d50</t>
  </si>
  <si>
    <t>مرحله اول</t>
  </si>
  <si>
    <t>مرحله دوم</t>
  </si>
  <si>
    <t>مرحله سوم</t>
  </si>
  <si>
    <t>در مرحله اول یک خط به قسمت خطی ابتدا نمودار یک خط مماس میکنیم و محل برخورد خط را با محور زمان برداشت میکنیم سپس در مرحله دوم آن زمان را در 1.15 ضرب  میکنیم و محل برخورد را پیدا کرده که d90 هست و در مرحله سوم d50 و d100 را محاسبه میکنیم</t>
  </si>
  <si>
    <r>
      <t>point t</t>
    </r>
    <r>
      <rPr>
        <vertAlign val="subscript"/>
        <sz val="10"/>
        <rFont val="Arial"/>
        <family val="2"/>
      </rPr>
      <t>90</t>
    </r>
  </si>
  <si>
    <r>
      <t>point t</t>
    </r>
    <r>
      <rPr>
        <vertAlign val="subscript"/>
        <sz val="10"/>
        <rFont val="Arial"/>
        <family val="2"/>
      </rPr>
      <t>100</t>
    </r>
  </si>
  <si>
    <r>
      <t>point t</t>
    </r>
    <r>
      <rPr>
        <vertAlign val="subscript"/>
        <sz val="10"/>
        <rFont val="Arial"/>
        <family val="2"/>
      </rPr>
      <t>50</t>
    </r>
  </si>
  <si>
    <r>
      <t>t</t>
    </r>
    <r>
      <rPr>
        <vertAlign val="subscript"/>
        <sz val="10"/>
        <rFont val="Arial"/>
        <family val="2"/>
      </rPr>
      <t>50</t>
    </r>
  </si>
  <si>
    <r>
      <t>t</t>
    </r>
    <r>
      <rPr>
        <vertAlign val="subscript"/>
        <sz val="10"/>
        <rFont val="Arial"/>
        <family val="2"/>
      </rPr>
      <t>100</t>
    </r>
  </si>
  <si>
    <t>مقدار اولیه</t>
  </si>
  <si>
    <r>
      <t>ضخامت منافذ
H</t>
    </r>
    <r>
      <rPr>
        <vertAlign val="subscript"/>
        <sz val="10"/>
        <rFont val="Arial"/>
        <family val="2"/>
      </rPr>
      <t>v</t>
    </r>
  </si>
  <si>
    <t>ارتفاع آزمونه
H</t>
  </si>
  <si>
    <r>
      <t>زمان 
t</t>
    </r>
    <r>
      <rPr>
        <vertAlign val="subscript"/>
        <sz val="10"/>
        <rFont val="Arial"/>
        <family val="2"/>
      </rPr>
      <t>90</t>
    </r>
  </si>
  <si>
    <r>
      <t>زمان
t</t>
    </r>
    <r>
      <rPr>
        <vertAlign val="subscript"/>
        <sz val="10"/>
        <rFont val="Arial"/>
        <family val="2"/>
      </rPr>
      <t>50</t>
    </r>
  </si>
  <si>
    <t>inches</t>
  </si>
  <si>
    <t>loading</t>
  </si>
  <si>
    <t>unloading</t>
  </si>
  <si>
    <t>unit</t>
  </si>
  <si>
    <t>find d that between wich row is placed</t>
  </si>
  <si>
    <t>D</t>
  </si>
  <si>
    <t>G</t>
  </si>
  <si>
    <t>J</t>
  </si>
  <si>
    <t>M</t>
  </si>
  <si>
    <t>P</t>
  </si>
  <si>
    <t>S</t>
  </si>
  <si>
    <t>V</t>
  </si>
  <si>
    <t>Y</t>
  </si>
  <si>
    <t>AB</t>
  </si>
  <si>
    <t>AE</t>
  </si>
  <si>
    <t>AH</t>
  </si>
  <si>
    <t>AK</t>
  </si>
  <si>
    <t>AN</t>
  </si>
  <si>
    <t>AQ</t>
  </si>
  <si>
    <t>AT</t>
  </si>
  <si>
    <t>AW</t>
  </si>
  <si>
    <t>AZ</t>
  </si>
  <si>
    <t>BC</t>
  </si>
  <si>
    <t>BF</t>
  </si>
  <si>
    <t>BI</t>
  </si>
  <si>
    <t>BL</t>
  </si>
  <si>
    <t>BO</t>
  </si>
  <si>
    <t>Interpolation</t>
  </si>
  <si>
    <t>don’t touch</t>
  </si>
  <si>
    <t>شماره آزمایش</t>
  </si>
  <si>
    <t>Column name</t>
  </si>
  <si>
    <r>
      <t>زمان
t</t>
    </r>
    <r>
      <rPr>
        <vertAlign val="subscript"/>
        <sz val="10"/>
        <rFont val="Arial"/>
        <family val="2"/>
      </rPr>
      <t>90</t>
    </r>
  </si>
  <si>
    <r>
      <t>زمان 
t</t>
    </r>
    <r>
      <rPr>
        <vertAlign val="subscript"/>
        <sz val="10"/>
        <rFont val="Arial"/>
        <family val="2"/>
      </rPr>
      <t>100</t>
    </r>
  </si>
  <si>
    <t>R</t>
  </si>
  <si>
    <t>b</t>
  </si>
  <si>
    <t>m</t>
  </si>
  <si>
    <t>line</t>
  </si>
  <si>
    <t>slope</t>
  </si>
  <si>
    <t>رنج خطی داده ها را انتخاب کنید</t>
  </si>
  <si>
    <t>find d that between which row is placed</t>
  </si>
  <si>
    <r>
      <t>a</t>
    </r>
    <r>
      <rPr>
        <vertAlign val="subscript"/>
        <sz val="10"/>
        <rFont val="Arial"/>
        <family val="2"/>
      </rPr>
      <t>v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</si>
</sst>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0"/>
    <numFmt numFmtId="167" formatCode="0.00000"/>
  </numFmts>
  <fonts count="19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sz val="10"/>
      <name val="Arial"/>
      <family val="2"/>
    </font>
    <font>
      <sz val="10"/>
      <name val="0 Fantezy"/>
      <charset val="178"/>
    </font>
    <font>
      <vertAlign val="subscript"/>
      <sz val="10"/>
      <name val="0 Fantezy"/>
      <charset val="178"/>
    </font>
    <font>
      <sz val="10"/>
      <name val="Calibri"/>
      <family val="2"/>
    </font>
    <font>
      <b/>
      <sz val="14"/>
      <name val="Arial"/>
      <family val="2"/>
    </font>
    <font>
      <sz val="10"/>
      <name val="Arial"/>
      <family val="2"/>
      <scheme val="minor"/>
    </font>
    <font>
      <sz val="10"/>
      <color theme="0"/>
      <name val="Arial"/>
      <family val="2"/>
    </font>
    <font>
      <b/>
      <sz val="11"/>
      <color theme="1"/>
      <name val="Arial"/>
      <family val="2"/>
    </font>
    <font>
      <b/>
      <sz val="18"/>
      <name val="Arial"/>
      <family val="2"/>
    </font>
    <font>
      <sz val="8"/>
      <color rgb="FF0C0D0E"/>
      <name val="Cascadia Mono"/>
      <family val="3"/>
    </font>
    <font>
      <sz val="10"/>
      <color rgb="FF0C0D0E"/>
      <name val="Var(--ff-mono)"/>
    </font>
    <font>
      <sz val="11"/>
      <color rgb="FF1F1F1F"/>
      <name val="Times New Roman"/>
      <family val="1"/>
      <scheme val="major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0" fontId="0" fillId="3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2" fillId="3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3" fillId="2" borderId="10" xfId="0" applyFont="1" applyFill="1" applyBorder="1" applyAlignment="1">
      <alignment vertic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 readingOrder="2"/>
    </xf>
    <xf numFmtId="2" fontId="0" fillId="0" borderId="0" xfId="0" applyNumberFormat="1" applyAlignment="1">
      <alignment horizontal="center"/>
    </xf>
    <xf numFmtId="2" fontId="12" fillId="0" borderId="0" xfId="0" applyNumberFormat="1" applyFont="1" applyAlignment="1">
      <alignment horizontal="center"/>
    </xf>
    <xf numFmtId="2" fontId="0" fillId="3" borderId="1" xfId="0" applyNumberForma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3" borderId="1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2" fillId="0" borderId="3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3" borderId="8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13" fillId="0" borderId="0" xfId="0" applyNumberFormat="1" applyFont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15" fillId="0" borderId="0" xfId="0" applyFont="1"/>
    <xf numFmtId="0" fontId="0" fillId="0" borderId="0" xfId="0" applyNumberFormat="1" applyAlignment="1">
      <alignment vertical="center"/>
    </xf>
    <xf numFmtId="1" fontId="0" fillId="0" borderId="0" xfId="0" applyNumberFormat="1" applyAlignment="1">
      <alignment horizontal="center" vertical="center"/>
    </xf>
    <xf numFmtId="2" fontId="2" fillId="0" borderId="0" xfId="0" applyNumberFormat="1" applyFont="1" applyAlignment="1">
      <alignment horizontal="center" vertical="center" wrapText="1"/>
    </xf>
    <xf numFmtId="0" fontId="0" fillId="0" borderId="0" xfId="0" applyAlignment="1"/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13" fillId="0" borderId="0" xfId="0" applyNumberFormat="1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0" fillId="0" borderId="0" xfId="0"/>
    <xf numFmtId="2" fontId="2" fillId="0" borderId="1" xfId="0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2" fontId="0" fillId="0" borderId="0" xfId="0" applyNumberFormat="1" applyAlignment="1">
      <alignment vertical="center"/>
    </xf>
    <xf numFmtId="165" fontId="0" fillId="5" borderId="17" xfId="0" applyNumberFormat="1" applyFill="1" applyBorder="1" applyAlignment="1">
      <alignment horizontal="center" vertical="center"/>
    </xf>
    <xf numFmtId="164" fontId="0" fillId="5" borderId="17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1" xfId="0" applyNumberFormat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30" xfId="0" applyFon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2" fontId="0" fillId="3" borderId="8" xfId="0" applyNumberForma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3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1" xfId="0" applyBorder="1" applyAlignment="1">
      <alignment horizontal="center"/>
    </xf>
    <xf numFmtId="0" fontId="2" fillId="0" borderId="18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10" fillId="0" borderId="0" xfId="0" applyNumberFormat="1" applyFont="1" applyAlignment="1">
      <alignment horizontal="center" vertical="center"/>
    </xf>
    <xf numFmtId="2" fontId="2" fillId="6" borderId="30" xfId="0" applyNumberFormat="1" applyFont="1" applyFill="1" applyBorder="1" applyAlignment="1">
      <alignment horizontal="center" vertical="center"/>
    </xf>
    <xf numFmtId="2" fontId="2" fillId="5" borderId="3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13" fillId="0" borderId="0" xfId="0" applyNumberFormat="1" applyFont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/>
    </xf>
    <xf numFmtId="0" fontId="0" fillId="0" borderId="0" xfId="0"/>
    <xf numFmtId="2" fontId="0" fillId="5" borderId="17" xfId="0" applyNumberFormat="1" applyFill="1" applyBorder="1" applyAlignment="1">
      <alignment horizontal="center"/>
    </xf>
    <xf numFmtId="2" fontId="2" fillId="6" borderId="30" xfId="0" applyNumberFormat="1" applyFont="1" applyFill="1" applyBorder="1" applyAlignment="1">
      <alignment horizontal="center"/>
    </xf>
    <xf numFmtId="2" fontId="2" fillId="6" borderId="1" xfId="0" applyNumberFormat="1" applyFont="1" applyFill="1" applyBorder="1" applyAlignment="1">
      <alignment horizontal="center"/>
    </xf>
    <xf numFmtId="2" fontId="2" fillId="5" borderId="3" xfId="0" applyNumberFormat="1" applyFont="1" applyFill="1" applyBorder="1" applyAlignment="1">
      <alignment horizontal="center"/>
    </xf>
    <xf numFmtId="2" fontId="2" fillId="5" borderId="1" xfId="0" applyNumberFormat="1" applyFont="1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محاسبات!$S$24:$S$34</c:f>
              <c:numCache>
                <c:formatCode>General</c:formatCode>
                <c:ptCount val="11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8</c:v>
                </c:pt>
                <c:pt idx="8">
                  <c:v>16</c:v>
                </c:pt>
                <c:pt idx="9">
                  <c:v>32</c:v>
                </c:pt>
                <c:pt idx="10">
                  <c:v>0</c:v>
                </c:pt>
              </c:numCache>
            </c:numRef>
          </c:xVal>
          <c:yVal>
            <c:numRef>
              <c:f>محاسبات!$J$23:$J$34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44-4727-84EC-9542DFEE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02623"/>
        <c:axId val="159003039"/>
      </c:scatterChart>
      <c:valAx>
        <c:axId val="15900262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</a:t>
                </a:r>
                <a:r>
                  <a:rPr lang="en-US" baseline="0"/>
                  <a:t>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a-I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159003039"/>
        <c:crosses val="autoZero"/>
        <c:crossBetween val="midCat"/>
      </c:valAx>
      <c:valAx>
        <c:axId val="15900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a-I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159002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data!$D$10:$D$28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  <c:pt idx="11">
                  <c:v>11.401754250991379</c:v>
                </c:pt>
                <c:pt idx="12">
                  <c:v>17.320508075688775</c:v>
                </c:pt>
                <c:pt idx="13">
                  <c:v>37.148351242013419</c:v>
                </c:pt>
              </c:numCache>
            </c:numRef>
          </c:xVal>
          <c:yVal>
            <c:numRef>
              <c:f>data!$G$10:$G$28</c:f>
              <c:numCache>
                <c:formatCode>0.0000</c:formatCode>
                <c:ptCount val="19"/>
                <c:pt idx="0">
                  <c:v>27</c:v>
                </c:pt>
                <c:pt idx="1">
                  <c:v>26.998699999999999</c:v>
                </c:pt>
                <c:pt idx="2">
                  <c:v>26.998200000000001</c:v>
                </c:pt>
                <c:pt idx="3">
                  <c:v>26.997499999999999</c:v>
                </c:pt>
                <c:pt idx="4">
                  <c:v>26.996600000000001</c:v>
                </c:pt>
                <c:pt idx="5">
                  <c:v>26.995999999999999</c:v>
                </c:pt>
                <c:pt idx="6">
                  <c:v>26.994599999999998</c:v>
                </c:pt>
                <c:pt idx="7">
                  <c:v>26.9923</c:v>
                </c:pt>
                <c:pt idx="8">
                  <c:v>26.991</c:v>
                </c:pt>
                <c:pt idx="9">
                  <c:v>26.987400000000001</c:v>
                </c:pt>
                <c:pt idx="10">
                  <c:v>26.98555</c:v>
                </c:pt>
                <c:pt idx="11">
                  <c:v>26.984000000000002</c:v>
                </c:pt>
                <c:pt idx="12">
                  <c:v>26.983799999999999</c:v>
                </c:pt>
                <c:pt idx="13">
                  <c:v>26.9831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3A-4D17-8E55-1A2EA273A420}"/>
            </c:ext>
          </c:extLst>
        </c:ser>
        <c:ser>
          <c:idx val="1"/>
          <c:order val="1"/>
          <c:spPr>
            <a:ln w="952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chart1!$A$6:$A$7</c:f>
              <c:strCache>
                <c:ptCount val="1"/>
                <c:pt idx="0">
                  <c:v>مرحله دوم</c:v>
                </c:pt>
              </c:strCache>
            </c:strRef>
          </c:xVal>
          <c:yVal>
            <c:numRef>
              <c:f>chart1!$B$6:$B$7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3A-4D17-8E55-1A2EA273A420}"/>
            </c:ext>
          </c:extLst>
        </c:ser>
        <c:ser>
          <c:idx val="2"/>
          <c:order val="2"/>
          <c:tx>
            <c:v>d90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5251-4D38-88C7-890D82B60A5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chart1!$A$10</c:f>
              <c:numCache>
                <c:formatCode>0.00</c:formatCode>
                <c:ptCount val="1"/>
                <c:pt idx="0">
                  <c:v>6.6772255750516614</c:v>
                </c:pt>
              </c:numCache>
            </c:numRef>
          </c:xVal>
          <c:yVal>
            <c:numRef>
              <c:f>chart1!$B$10</c:f>
              <c:numCache>
                <c:formatCode>0.0000</c:formatCode>
                <c:ptCount val="1"/>
                <c:pt idx="0">
                  <c:v>26.986300000000004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3A-4D17-8E55-1A2EA273A420}"/>
            </c:ext>
          </c:extLst>
        </c:ser>
        <c:ser>
          <c:idx val="3"/>
          <c:order val="3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chart1!$AD$21:$AD$41</c:f>
              <c:numCache>
                <c:formatCode>0.00</c:formatCode>
                <c:ptCount val="21"/>
                <c:pt idx="0">
                  <c:v>26.984861322373273</c:v>
                </c:pt>
                <c:pt idx="1">
                  <c:v>26.984861322373273</c:v>
                </c:pt>
                <c:pt idx="2">
                  <c:v>26.984861322373273</c:v>
                </c:pt>
                <c:pt idx="3">
                  <c:v>26.984861322373273</c:v>
                </c:pt>
                <c:pt idx="4">
                  <c:v>26.984861322373273</c:v>
                </c:pt>
                <c:pt idx="5">
                  <c:v>26.984861322373273</c:v>
                </c:pt>
                <c:pt idx="6">
                  <c:v>26.984861322373273</c:v>
                </c:pt>
                <c:pt idx="7">
                  <c:v>26.984861322373273</c:v>
                </c:pt>
                <c:pt idx="8">
                  <c:v>26.984861322373273</c:v>
                </c:pt>
                <c:pt idx="9">
                  <c:v>26.984861322373273</c:v>
                </c:pt>
                <c:pt idx="10">
                  <c:v>26.984861322373273</c:v>
                </c:pt>
                <c:pt idx="11">
                  <c:v>26.984861322373273</c:v>
                </c:pt>
                <c:pt idx="12">
                  <c:v>26.984861322373273</c:v>
                </c:pt>
                <c:pt idx="13">
                  <c:v>26.984861322373273</c:v>
                </c:pt>
                <c:pt idx="14">
                  <c:v>26.984861322373273</c:v>
                </c:pt>
                <c:pt idx="15">
                  <c:v>26.984861322373273</c:v>
                </c:pt>
                <c:pt idx="16">
                  <c:v>26.984861322373273</c:v>
                </c:pt>
                <c:pt idx="17">
                  <c:v>26.984861322373273</c:v>
                </c:pt>
                <c:pt idx="18">
                  <c:v>26.984861322373273</c:v>
                </c:pt>
                <c:pt idx="19">
                  <c:v>26.984861322373273</c:v>
                </c:pt>
                <c:pt idx="20">
                  <c:v>26.984861322373273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3A-4D17-8E55-1A2EA273A420}"/>
            </c:ext>
          </c:extLst>
        </c:ser>
        <c:ser>
          <c:idx val="4"/>
          <c:order val="4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chart1!$AE$21:$AE$41</c:f>
              <c:numCache>
                <c:formatCode>0.00</c:formatCode>
                <c:ptCount val="21"/>
                <c:pt idx="0">
                  <c:v>26.99205471050692</c:v>
                </c:pt>
                <c:pt idx="1">
                  <c:v>26.99205471050692</c:v>
                </c:pt>
                <c:pt idx="2">
                  <c:v>26.99205471050692</c:v>
                </c:pt>
                <c:pt idx="3">
                  <c:v>26.99205471050692</c:v>
                </c:pt>
                <c:pt idx="4">
                  <c:v>26.99205471050692</c:v>
                </c:pt>
                <c:pt idx="5">
                  <c:v>26.99205471050692</c:v>
                </c:pt>
                <c:pt idx="6">
                  <c:v>26.99205471050692</c:v>
                </c:pt>
                <c:pt idx="7">
                  <c:v>26.99205471050692</c:v>
                </c:pt>
                <c:pt idx="8">
                  <c:v>26.99205471050692</c:v>
                </c:pt>
                <c:pt idx="9">
                  <c:v>26.99205471050692</c:v>
                </c:pt>
                <c:pt idx="10">
                  <c:v>26.99205471050692</c:v>
                </c:pt>
                <c:pt idx="11">
                  <c:v>26.99205471050692</c:v>
                </c:pt>
                <c:pt idx="12">
                  <c:v>26.99205471050692</c:v>
                </c:pt>
                <c:pt idx="13">
                  <c:v>26.99205471050692</c:v>
                </c:pt>
                <c:pt idx="14">
                  <c:v>26.99205471050692</c:v>
                </c:pt>
                <c:pt idx="15">
                  <c:v>26.99205471050692</c:v>
                </c:pt>
                <c:pt idx="16">
                  <c:v>26.99205471050692</c:v>
                </c:pt>
                <c:pt idx="17">
                  <c:v>26.99205471050692</c:v>
                </c:pt>
                <c:pt idx="18">
                  <c:v>26.99205471050692</c:v>
                </c:pt>
                <c:pt idx="19">
                  <c:v>26.99205471050692</c:v>
                </c:pt>
                <c:pt idx="20">
                  <c:v>26.99205471050692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3A-4D17-8E55-1A2EA273A420}"/>
            </c:ext>
          </c:extLst>
        </c:ser>
        <c:ser>
          <c:idx val="5"/>
          <c:order val="5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5251-4D38-88C7-890D82B60A5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chart1!$E$16</c:f>
              <c:numCache>
                <c:formatCode>0.00</c:formatCode>
                <c:ptCount val="1"/>
                <c:pt idx="0">
                  <c:v>9.3702628857427044</c:v>
                </c:pt>
              </c:numCache>
            </c:numRef>
          </c:xVal>
          <c:yVal>
            <c:numRef>
              <c:f>chart1!$A$17</c:f>
              <c:numCache>
                <c:formatCode>0.0000</c:formatCode>
                <c:ptCount val="1"/>
                <c:pt idx="0">
                  <c:v>26.984861322373273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63A-4D17-8E55-1A2EA273A420}"/>
            </c:ext>
          </c:extLst>
        </c:ser>
        <c:ser>
          <c:idx val="6"/>
          <c:order val="6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5251-4D38-88C7-890D82B60A5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chart1!$E$20</c:f>
              <c:numCache>
                <c:formatCode>0.00</c:formatCode>
                <c:ptCount val="1"/>
                <c:pt idx="0">
                  <c:v>3.0255184063280467</c:v>
                </c:pt>
              </c:numCache>
            </c:numRef>
          </c:xVal>
          <c:yVal>
            <c:numRef>
              <c:f>chart1!$A$21</c:f>
              <c:numCache>
                <c:formatCode>0.0000</c:formatCode>
                <c:ptCount val="1"/>
                <c:pt idx="0">
                  <c:v>26.99205471050692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63A-4D17-8E55-1A2EA273A420}"/>
            </c:ext>
          </c:extLst>
        </c:ser>
        <c:ser>
          <c:idx val="7"/>
          <c:order val="7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data!$D$10:$D$19</c:f>
              <c:numCache>
                <c:formatCode>0.00</c:formatCode>
                <c:ptCount val="10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</c:numCache>
            </c:numRef>
          </c:xVal>
          <c:yVal>
            <c:numRef>
              <c:f>data!$G$10:$G$19</c:f>
              <c:numCache>
                <c:formatCode>0.0000</c:formatCode>
                <c:ptCount val="10"/>
                <c:pt idx="0">
                  <c:v>27</c:v>
                </c:pt>
                <c:pt idx="1">
                  <c:v>26.998699999999999</c:v>
                </c:pt>
                <c:pt idx="2">
                  <c:v>26.998200000000001</c:v>
                </c:pt>
                <c:pt idx="3">
                  <c:v>26.997499999999999</c:v>
                </c:pt>
                <c:pt idx="4">
                  <c:v>26.996600000000001</c:v>
                </c:pt>
                <c:pt idx="5">
                  <c:v>26.995999999999999</c:v>
                </c:pt>
                <c:pt idx="6">
                  <c:v>26.994599999999998</c:v>
                </c:pt>
                <c:pt idx="7">
                  <c:v>26.9923</c:v>
                </c:pt>
                <c:pt idx="8">
                  <c:v>26.991</c:v>
                </c:pt>
                <c:pt idx="9">
                  <c:v>26.987400000000001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891-4762-8C6F-3C4D6BDAA83F}"/>
            </c:ext>
          </c:extLst>
        </c:ser>
        <c:ser>
          <c:idx val="8"/>
          <c:order val="8"/>
          <c:tx>
            <c:v>linearline</c:v>
          </c:tx>
          <c:spPr>
            <a:ln w="15875" cap="rnd" cmpd="sng" algn="ctr">
              <a:solidFill>
                <a:sysClr val="windowText" lastClr="000000">
                  <a:lumMod val="100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chart1!$AB$3:$AB$43</c:f>
              <c:numCache>
                <c:formatCode>0.0000</c:formatCode>
                <c:ptCount val="41"/>
                <c:pt idx="0">
                  <c:v>26.999248098640567</c:v>
                </c:pt>
                <c:pt idx="1">
                  <c:v>26.998166520159071</c:v>
                </c:pt>
                <c:pt idx="2">
                  <c:v>26.997084941677574</c:v>
                </c:pt>
                <c:pt idx="3">
                  <c:v>26.996003363196074</c:v>
                </c:pt>
                <c:pt idx="4">
                  <c:v>26.994921784714577</c:v>
                </c:pt>
                <c:pt idx="5">
                  <c:v>26.993840206233081</c:v>
                </c:pt>
                <c:pt idx="6">
                  <c:v>26.992758627751584</c:v>
                </c:pt>
                <c:pt idx="7">
                  <c:v>26.991677049270084</c:v>
                </c:pt>
                <c:pt idx="8">
                  <c:v>26.990595470788588</c:v>
                </c:pt>
                <c:pt idx="9">
                  <c:v>26.989513892307091</c:v>
                </c:pt>
                <c:pt idx="10">
                  <c:v>26.988432313825594</c:v>
                </c:pt>
                <c:pt idx="11">
                  <c:v>26.987350735344094</c:v>
                </c:pt>
                <c:pt idx="12">
                  <c:v>26.986269156862598</c:v>
                </c:pt>
                <c:pt idx="13">
                  <c:v>26.985187578381101</c:v>
                </c:pt>
                <c:pt idx="14">
                  <c:v>26.984105999899604</c:v>
                </c:pt>
                <c:pt idx="15">
                  <c:v>26.983024421418104</c:v>
                </c:pt>
                <c:pt idx="16">
                  <c:v>26.981942842936608</c:v>
                </c:pt>
                <c:pt idx="17">
                  <c:v>26.980861264455111</c:v>
                </c:pt>
                <c:pt idx="18">
                  <c:v>26.979779685973615</c:v>
                </c:pt>
                <c:pt idx="19">
                  <c:v>26.978698107492118</c:v>
                </c:pt>
                <c:pt idx="20">
                  <c:v>26.977616529010618</c:v>
                </c:pt>
                <c:pt idx="21">
                  <c:v>26.976534950529121</c:v>
                </c:pt>
                <c:pt idx="22">
                  <c:v>26.975453372047625</c:v>
                </c:pt>
                <c:pt idx="23">
                  <c:v>26.974371793566128</c:v>
                </c:pt>
                <c:pt idx="24">
                  <c:v>26.973290215084628</c:v>
                </c:pt>
                <c:pt idx="25">
                  <c:v>26.972208636603131</c:v>
                </c:pt>
                <c:pt idx="26">
                  <c:v>26.971127058121635</c:v>
                </c:pt>
                <c:pt idx="27">
                  <c:v>26.970045479640138</c:v>
                </c:pt>
                <c:pt idx="28">
                  <c:v>26.968963901158638</c:v>
                </c:pt>
                <c:pt idx="29">
                  <c:v>26.967882322677141</c:v>
                </c:pt>
                <c:pt idx="30">
                  <c:v>26.966800744195645</c:v>
                </c:pt>
                <c:pt idx="31">
                  <c:v>26.965719165714148</c:v>
                </c:pt>
                <c:pt idx="32">
                  <c:v>26.964637587232652</c:v>
                </c:pt>
                <c:pt idx="33">
                  <c:v>26.963556008751151</c:v>
                </c:pt>
                <c:pt idx="34">
                  <c:v>26.962474430269655</c:v>
                </c:pt>
                <c:pt idx="35">
                  <c:v>26.961392851788158</c:v>
                </c:pt>
                <c:pt idx="36">
                  <c:v>26.960311273306662</c:v>
                </c:pt>
                <c:pt idx="37">
                  <c:v>26.959229694825162</c:v>
                </c:pt>
                <c:pt idx="38">
                  <c:v>26.958148116343665</c:v>
                </c:pt>
                <c:pt idx="39">
                  <c:v>26.957066537862168</c:v>
                </c:pt>
                <c:pt idx="40">
                  <c:v>26.955984959380672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3D-4051-BFC8-3DABDA6C09CF}"/>
            </c:ext>
          </c:extLst>
        </c:ser>
        <c:ser>
          <c:idx val="9"/>
          <c:order val="9"/>
          <c:tx>
            <c:v>linearline1.15t</c:v>
          </c:tx>
          <c:spPr>
            <a:ln w="15875" cap="rnd" cmpd="sng" algn="ctr">
              <a:solidFill>
                <a:srgbClr val="FF0000"/>
              </a:solidFill>
              <a:prstDash val="dash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chart1!$AB$3:$AB$43</c:f>
              <c:numCache>
                <c:formatCode>0.0000</c:formatCode>
                <c:ptCount val="41"/>
                <c:pt idx="0">
                  <c:v>26.999248098640567</c:v>
                </c:pt>
                <c:pt idx="1">
                  <c:v>26.998166520159071</c:v>
                </c:pt>
                <c:pt idx="2">
                  <c:v>26.997084941677574</c:v>
                </c:pt>
                <c:pt idx="3">
                  <c:v>26.996003363196074</c:v>
                </c:pt>
                <c:pt idx="4">
                  <c:v>26.994921784714577</c:v>
                </c:pt>
                <c:pt idx="5">
                  <c:v>26.993840206233081</c:v>
                </c:pt>
                <c:pt idx="6">
                  <c:v>26.992758627751584</c:v>
                </c:pt>
                <c:pt idx="7">
                  <c:v>26.991677049270084</c:v>
                </c:pt>
                <c:pt idx="8">
                  <c:v>26.990595470788588</c:v>
                </c:pt>
                <c:pt idx="9">
                  <c:v>26.989513892307091</c:v>
                </c:pt>
                <c:pt idx="10">
                  <c:v>26.988432313825594</c:v>
                </c:pt>
                <c:pt idx="11">
                  <c:v>26.987350735344094</c:v>
                </c:pt>
                <c:pt idx="12">
                  <c:v>26.986269156862598</c:v>
                </c:pt>
                <c:pt idx="13">
                  <c:v>26.985187578381101</c:v>
                </c:pt>
                <c:pt idx="14">
                  <c:v>26.984105999899604</c:v>
                </c:pt>
                <c:pt idx="15">
                  <c:v>26.983024421418104</c:v>
                </c:pt>
                <c:pt idx="16">
                  <c:v>26.981942842936608</c:v>
                </c:pt>
                <c:pt idx="17">
                  <c:v>26.980861264455111</c:v>
                </c:pt>
                <c:pt idx="18">
                  <c:v>26.979779685973615</c:v>
                </c:pt>
                <c:pt idx="19">
                  <c:v>26.978698107492118</c:v>
                </c:pt>
                <c:pt idx="20">
                  <c:v>26.977616529010618</c:v>
                </c:pt>
                <c:pt idx="21">
                  <c:v>26.976534950529121</c:v>
                </c:pt>
                <c:pt idx="22">
                  <c:v>26.975453372047625</c:v>
                </c:pt>
                <c:pt idx="23">
                  <c:v>26.974371793566128</c:v>
                </c:pt>
                <c:pt idx="24">
                  <c:v>26.973290215084628</c:v>
                </c:pt>
                <c:pt idx="25">
                  <c:v>26.972208636603131</c:v>
                </c:pt>
                <c:pt idx="26">
                  <c:v>26.971127058121635</c:v>
                </c:pt>
                <c:pt idx="27">
                  <c:v>26.970045479640138</c:v>
                </c:pt>
                <c:pt idx="28">
                  <c:v>26.968963901158638</c:v>
                </c:pt>
                <c:pt idx="29">
                  <c:v>26.967882322677141</c:v>
                </c:pt>
                <c:pt idx="30">
                  <c:v>26.966800744195645</c:v>
                </c:pt>
                <c:pt idx="31">
                  <c:v>26.965719165714148</c:v>
                </c:pt>
                <c:pt idx="32">
                  <c:v>26.964637587232652</c:v>
                </c:pt>
                <c:pt idx="33">
                  <c:v>26.963556008751151</c:v>
                </c:pt>
                <c:pt idx="34">
                  <c:v>26.962474430269655</c:v>
                </c:pt>
                <c:pt idx="35">
                  <c:v>26.961392851788158</c:v>
                </c:pt>
                <c:pt idx="36">
                  <c:v>26.960311273306662</c:v>
                </c:pt>
                <c:pt idx="37">
                  <c:v>26.959229694825162</c:v>
                </c:pt>
                <c:pt idx="38">
                  <c:v>26.958148116343665</c:v>
                </c:pt>
                <c:pt idx="39">
                  <c:v>26.957066537862168</c:v>
                </c:pt>
                <c:pt idx="40">
                  <c:v>26.955984959380672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3D-4051-BFC8-3DABDA6C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37.148351242013419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7"/>
          <c:min val="26.983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data!$J$10:$J$28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3.1622776601683795</c:v>
                </c:pt>
                <c:pt idx="8">
                  <c:v>3.872983346207417</c:v>
                </c:pt>
                <c:pt idx="9">
                  <c:v>5.5677643628300215</c:v>
                </c:pt>
                <c:pt idx="10">
                  <c:v>7.745966692414834</c:v>
                </c:pt>
                <c:pt idx="11">
                  <c:v>11</c:v>
                </c:pt>
                <c:pt idx="12">
                  <c:v>15.491933384829668</c:v>
                </c:pt>
                <c:pt idx="13">
                  <c:v>23.706539182259394</c:v>
                </c:pt>
              </c:numCache>
            </c:numRef>
          </c:xVal>
          <c:yVal>
            <c:numRef>
              <c:f>data!$M$10:$M$28</c:f>
              <c:numCache>
                <c:formatCode>0.0000</c:formatCode>
                <c:ptCount val="19"/>
                <c:pt idx="0">
                  <c:v>26.9831</c:v>
                </c:pt>
                <c:pt idx="1">
                  <c:v>26.982500000000002</c:v>
                </c:pt>
                <c:pt idx="2">
                  <c:v>26.982299999999999</c:v>
                </c:pt>
                <c:pt idx="3">
                  <c:v>26.981950000000001</c:v>
                </c:pt>
                <c:pt idx="4">
                  <c:v>26.9816</c:v>
                </c:pt>
                <c:pt idx="5">
                  <c:v>26.98105</c:v>
                </c:pt>
                <c:pt idx="6">
                  <c:v>26.980399999999999</c:v>
                </c:pt>
                <c:pt idx="7">
                  <c:v>26.978899999999999</c:v>
                </c:pt>
                <c:pt idx="8">
                  <c:v>26.9785</c:v>
                </c:pt>
                <c:pt idx="9">
                  <c:v>26.9773</c:v>
                </c:pt>
                <c:pt idx="10">
                  <c:v>26.975200000000001</c:v>
                </c:pt>
                <c:pt idx="11">
                  <c:v>26.975000000000001</c:v>
                </c:pt>
                <c:pt idx="12">
                  <c:v>26.974599999999999</c:v>
                </c:pt>
                <c:pt idx="13">
                  <c:v>26.974499999999999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7B-4EE2-BB66-BDA3EC837104}"/>
            </c:ext>
          </c:extLst>
        </c:ser>
        <c:ser>
          <c:idx val="1"/>
          <c:order val="1"/>
          <c:spPr>
            <a:ln w="952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chart2!$A$6:$A$7</c:f>
              <c:strCache>
                <c:ptCount val="1"/>
                <c:pt idx="0">
                  <c:v>مرحله دوم</c:v>
                </c:pt>
              </c:strCache>
            </c:strRef>
          </c:xVal>
          <c:yVal>
            <c:numRef>
              <c:f>chart2!$B$6:$B$7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7B-4EE2-BB66-BDA3EC837104}"/>
            </c:ext>
          </c:extLst>
        </c:ser>
        <c:ser>
          <c:idx val="2"/>
          <c:order val="2"/>
          <c:tx>
            <c:v>point90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7B-4EE2-BB66-BDA3EC83710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chart2!$A$10</c:f>
              <c:numCache>
                <c:formatCode>0.00</c:formatCode>
                <c:ptCount val="1"/>
                <c:pt idx="0">
                  <c:v>5.0729833462074172</c:v>
                </c:pt>
              </c:numCache>
            </c:numRef>
          </c:xVal>
          <c:yVal>
            <c:numRef>
              <c:f>chart2!$B$10</c:f>
              <c:numCache>
                <c:formatCode>0.0000</c:formatCode>
                <c:ptCount val="1"/>
                <c:pt idx="0">
                  <c:v>26.976100000000002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7B-4EE2-BB66-BDA3EC837104}"/>
            </c:ext>
          </c:extLst>
        </c:ser>
        <c:ser>
          <c:idx val="3"/>
          <c:order val="3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chart2!$AC$21:$AC$41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chart2!$AD$21:$AD$41</c:f>
              <c:numCache>
                <c:formatCode>0.00</c:formatCode>
                <c:ptCount val="21"/>
                <c:pt idx="0">
                  <c:v>26.975347888443913</c:v>
                </c:pt>
                <c:pt idx="1">
                  <c:v>26.975347888443913</c:v>
                </c:pt>
                <c:pt idx="2">
                  <c:v>26.975347888443913</c:v>
                </c:pt>
                <c:pt idx="3">
                  <c:v>26.975347888443913</c:v>
                </c:pt>
                <c:pt idx="4">
                  <c:v>26.975347888443913</c:v>
                </c:pt>
                <c:pt idx="5">
                  <c:v>26.975347888443913</c:v>
                </c:pt>
                <c:pt idx="6">
                  <c:v>26.975347888443913</c:v>
                </c:pt>
                <c:pt idx="7">
                  <c:v>26.975347888443913</c:v>
                </c:pt>
                <c:pt idx="8">
                  <c:v>26.975347888443913</c:v>
                </c:pt>
                <c:pt idx="9">
                  <c:v>26.975347888443913</c:v>
                </c:pt>
                <c:pt idx="10">
                  <c:v>26.975347888443913</c:v>
                </c:pt>
                <c:pt idx="11">
                  <c:v>26.975347888443913</c:v>
                </c:pt>
                <c:pt idx="12">
                  <c:v>26.975347888443913</c:v>
                </c:pt>
                <c:pt idx="13">
                  <c:v>26.975347888443913</c:v>
                </c:pt>
                <c:pt idx="14">
                  <c:v>26.975347888443913</c:v>
                </c:pt>
                <c:pt idx="15">
                  <c:v>26.975347888443913</c:v>
                </c:pt>
                <c:pt idx="16">
                  <c:v>26.975347888443913</c:v>
                </c:pt>
                <c:pt idx="17">
                  <c:v>26.975347888443913</c:v>
                </c:pt>
                <c:pt idx="18">
                  <c:v>26.975347888443913</c:v>
                </c:pt>
                <c:pt idx="19">
                  <c:v>26.975347888443913</c:v>
                </c:pt>
                <c:pt idx="20">
                  <c:v>26.975347888443913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D7B-4EE2-BB66-BDA3EC837104}"/>
            </c:ext>
          </c:extLst>
        </c:ser>
        <c:ser>
          <c:idx val="4"/>
          <c:order val="4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chart2!$AC$21:$AC$41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chart2!$AE$21:$AE$41</c:f>
              <c:numCache>
                <c:formatCode>0.00</c:formatCode>
                <c:ptCount val="21"/>
                <c:pt idx="0">
                  <c:v>26.979108446224362</c:v>
                </c:pt>
                <c:pt idx="1">
                  <c:v>26.979108446224362</c:v>
                </c:pt>
                <c:pt idx="2">
                  <c:v>26.979108446224362</c:v>
                </c:pt>
                <c:pt idx="3">
                  <c:v>26.979108446224362</c:v>
                </c:pt>
                <c:pt idx="4">
                  <c:v>26.979108446224362</c:v>
                </c:pt>
                <c:pt idx="5">
                  <c:v>26.979108446224362</c:v>
                </c:pt>
                <c:pt idx="6">
                  <c:v>26.979108446224362</c:v>
                </c:pt>
                <c:pt idx="7">
                  <c:v>26.979108446224362</c:v>
                </c:pt>
                <c:pt idx="8">
                  <c:v>26.979108446224362</c:v>
                </c:pt>
                <c:pt idx="9">
                  <c:v>26.979108446224362</c:v>
                </c:pt>
                <c:pt idx="10">
                  <c:v>26.979108446224362</c:v>
                </c:pt>
                <c:pt idx="11">
                  <c:v>26.979108446224362</c:v>
                </c:pt>
                <c:pt idx="12">
                  <c:v>26.979108446224362</c:v>
                </c:pt>
                <c:pt idx="13">
                  <c:v>26.979108446224362</c:v>
                </c:pt>
                <c:pt idx="14">
                  <c:v>26.979108446224362</c:v>
                </c:pt>
                <c:pt idx="15">
                  <c:v>26.979108446224362</c:v>
                </c:pt>
                <c:pt idx="16">
                  <c:v>26.979108446224362</c:v>
                </c:pt>
                <c:pt idx="17">
                  <c:v>26.979108446224362</c:v>
                </c:pt>
                <c:pt idx="18">
                  <c:v>26.979108446224362</c:v>
                </c:pt>
                <c:pt idx="19">
                  <c:v>26.979108446224362</c:v>
                </c:pt>
                <c:pt idx="20">
                  <c:v>26.979108446224362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D7B-4EE2-BB66-BDA3EC837104}"/>
            </c:ext>
          </c:extLst>
        </c:ser>
        <c:ser>
          <c:idx val="5"/>
          <c:order val="5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7B-4EE2-BB66-BDA3EC83710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chart2!$E$16</c:f>
              <c:numCache>
                <c:formatCode>0.00</c:formatCode>
                <c:ptCount val="1"/>
                <c:pt idx="0">
                  <c:v>7.5925710004885332</c:v>
                </c:pt>
              </c:numCache>
            </c:numRef>
          </c:xVal>
          <c:yVal>
            <c:numRef>
              <c:f>chart2!$A$17</c:f>
              <c:numCache>
                <c:formatCode>0.0000</c:formatCode>
                <c:ptCount val="1"/>
                <c:pt idx="0">
                  <c:v>26.975347888443913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D7B-4EE2-BB66-BDA3EC837104}"/>
            </c:ext>
          </c:extLst>
        </c:ser>
        <c:ser>
          <c:idx val="6"/>
          <c:order val="6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7B-4EE2-BB66-BDA3EC83710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chart2!$E$20</c:f>
              <c:numCache>
                <c:formatCode>0.00</c:formatCode>
                <c:ptCount val="1"/>
                <c:pt idx="0">
                  <c:v>3.0007627335508005</c:v>
                </c:pt>
              </c:numCache>
            </c:numRef>
          </c:xVal>
          <c:yVal>
            <c:numRef>
              <c:f>chart2!$A$21</c:f>
              <c:numCache>
                <c:formatCode>0.0000</c:formatCode>
                <c:ptCount val="1"/>
                <c:pt idx="0">
                  <c:v>26.979108446224362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D7B-4EE2-BB66-BDA3EC837104}"/>
            </c:ext>
          </c:extLst>
        </c:ser>
        <c:ser>
          <c:idx val="7"/>
          <c:order val="7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data!$J$10:$J$18</c:f>
              <c:numCache>
                <c:formatCode>0.00</c:formatCode>
                <c:ptCount val="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3.1622776601683795</c:v>
                </c:pt>
                <c:pt idx="8">
                  <c:v>3.872983346207417</c:v>
                </c:pt>
              </c:numCache>
            </c:numRef>
          </c:xVal>
          <c:yVal>
            <c:numRef>
              <c:f>data!$M$10:$M$18</c:f>
              <c:numCache>
                <c:formatCode>0.0000</c:formatCode>
                <c:ptCount val="9"/>
                <c:pt idx="0">
                  <c:v>26.9831</c:v>
                </c:pt>
                <c:pt idx="1">
                  <c:v>26.982500000000002</c:v>
                </c:pt>
                <c:pt idx="2">
                  <c:v>26.982299999999999</c:v>
                </c:pt>
                <c:pt idx="3">
                  <c:v>26.981950000000001</c:v>
                </c:pt>
                <c:pt idx="4">
                  <c:v>26.9816</c:v>
                </c:pt>
                <c:pt idx="5">
                  <c:v>26.98105</c:v>
                </c:pt>
                <c:pt idx="6">
                  <c:v>26.980399999999999</c:v>
                </c:pt>
                <c:pt idx="7">
                  <c:v>26.978899999999999</c:v>
                </c:pt>
                <c:pt idx="8">
                  <c:v>26.9785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66-4D1D-8DF5-FE8E9655F25E}"/>
            </c:ext>
          </c:extLst>
        </c:ser>
        <c:ser>
          <c:idx val="12"/>
          <c:order val="8"/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4-ECF8-44DF-941C-5F4FB33FE276}"/>
            </c:ext>
          </c:extLst>
        </c:ser>
        <c:ser>
          <c:idx val="13"/>
          <c:order val="9"/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5-ECF8-44DF-941C-5F4FB33FE276}"/>
            </c:ext>
          </c:extLst>
        </c:ser>
        <c:ser>
          <c:idx val="8"/>
          <c:order val="10"/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6-ECF8-44DF-941C-5F4FB33FE276}"/>
            </c:ext>
          </c:extLst>
        </c:ser>
        <c:ser>
          <c:idx val="9"/>
          <c:order val="11"/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7-ECF8-44DF-941C-5F4FB33FE276}"/>
            </c:ext>
          </c:extLst>
        </c:ser>
        <c:ser>
          <c:idx val="10"/>
          <c:order val="12"/>
          <c:tx>
            <c:v>linearline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chart2!$Z$3:$Z$43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chart2!$AB$3:$AB$43</c:f>
              <c:numCache>
                <c:formatCode>0.0000</c:formatCode>
                <c:ptCount val="41"/>
                <c:pt idx="0">
                  <c:v>26.982869004004812</c:v>
                </c:pt>
                <c:pt idx="1">
                  <c:v>26.982304968013139</c:v>
                </c:pt>
                <c:pt idx="2">
                  <c:v>26.98174093202147</c:v>
                </c:pt>
                <c:pt idx="3">
                  <c:v>26.981176896029798</c:v>
                </c:pt>
                <c:pt idx="4">
                  <c:v>26.980612860038125</c:v>
                </c:pt>
                <c:pt idx="5">
                  <c:v>26.980048824046452</c:v>
                </c:pt>
                <c:pt idx="6">
                  <c:v>26.979484788054783</c:v>
                </c:pt>
                <c:pt idx="7">
                  <c:v>26.978920752063111</c:v>
                </c:pt>
                <c:pt idx="8">
                  <c:v>26.978356716071438</c:v>
                </c:pt>
                <c:pt idx="9">
                  <c:v>26.977792680079766</c:v>
                </c:pt>
                <c:pt idx="10">
                  <c:v>26.977228644088097</c:v>
                </c:pt>
                <c:pt idx="11">
                  <c:v>26.976664608096424</c:v>
                </c:pt>
                <c:pt idx="12">
                  <c:v>26.976100572104752</c:v>
                </c:pt>
                <c:pt idx="13">
                  <c:v>26.975536536113083</c:v>
                </c:pt>
                <c:pt idx="14">
                  <c:v>26.97497250012141</c:v>
                </c:pt>
                <c:pt idx="15">
                  <c:v>26.974408464129738</c:v>
                </c:pt>
                <c:pt idx="16">
                  <c:v>26.973844428138065</c:v>
                </c:pt>
                <c:pt idx="17">
                  <c:v>26.973280392146396</c:v>
                </c:pt>
                <c:pt idx="18">
                  <c:v>26.972716356154724</c:v>
                </c:pt>
                <c:pt idx="19">
                  <c:v>26.972152320163051</c:v>
                </c:pt>
                <c:pt idx="20">
                  <c:v>26.971588284171379</c:v>
                </c:pt>
                <c:pt idx="21">
                  <c:v>26.97102424817971</c:v>
                </c:pt>
                <c:pt idx="22">
                  <c:v>26.970460212188037</c:v>
                </c:pt>
                <c:pt idx="23">
                  <c:v>26.969896176196364</c:v>
                </c:pt>
                <c:pt idx="24">
                  <c:v>26.969332140204692</c:v>
                </c:pt>
                <c:pt idx="25">
                  <c:v>26.968768104213023</c:v>
                </c:pt>
                <c:pt idx="26">
                  <c:v>26.96820406822135</c:v>
                </c:pt>
                <c:pt idx="27">
                  <c:v>26.967640032229678</c:v>
                </c:pt>
                <c:pt idx="28">
                  <c:v>26.967075996238009</c:v>
                </c:pt>
                <c:pt idx="29">
                  <c:v>26.966511960246336</c:v>
                </c:pt>
                <c:pt idx="30">
                  <c:v>26.965947924254664</c:v>
                </c:pt>
                <c:pt idx="31">
                  <c:v>26.965383888262991</c:v>
                </c:pt>
                <c:pt idx="32">
                  <c:v>26.964819852271322</c:v>
                </c:pt>
                <c:pt idx="33">
                  <c:v>26.96425581627965</c:v>
                </c:pt>
                <c:pt idx="34">
                  <c:v>26.963691780287977</c:v>
                </c:pt>
                <c:pt idx="35">
                  <c:v>26.963127744296305</c:v>
                </c:pt>
                <c:pt idx="36">
                  <c:v>26.962563708304636</c:v>
                </c:pt>
                <c:pt idx="37">
                  <c:v>26.961999672312963</c:v>
                </c:pt>
                <c:pt idx="38">
                  <c:v>26.961435636321291</c:v>
                </c:pt>
                <c:pt idx="39">
                  <c:v>26.960871600329622</c:v>
                </c:pt>
                <c:pt idx="40">
                  <c:v>26.960307564337949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CF8-44DF-941C-5F4FB33FE276}"/>
            </c:ext>
          </c:extLst>
        </c:ser>
        <c:ser>
          <c:idx val="11"/>
          <c:order val="13"/>
          <c:tx>
            <c:v>linearline1.15t</c:v>
          </c:tx>
          <c:spPr>
            <a:ln w="15875"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chart2!$AA$3:$AA$43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chart2!$AB$3:$AB$43</c:f>
              <c:numCache>
                <c:formatCode>0.0000</c:formatCode>
                <c:ptCount val="41"/>
                <c:pt idx="0">
                  <c:v>26.982869004004812</c:v>
                </c:pt>
                <c:pt idx="1">
                  <c:v>26.982304968013139</c:v>
                </c:pt>
                <c:pt idx="2">
                  <c:v>26.98174093202147</c:v>
                </c:pt>
                <c:pt idx="3">
                  <c:v>26.981176896029798</c:v>
                </c:pt>
                <c:pt idx="4">
                  <c:v>26.980612860038125</c:v>
                </c:pt>
                <c:pt idx="5">
                  <c:v>26.980048824046452</c:v>
                </c:pt>
                <c:pt idx="6">
                  <c:v>26.979484788054783</c:v>
                </c:pt>
                <c:pt idx="7">
                  <c:v>26.978920752063111</c:v>
                </c:pt>
                <c:pt idx="8">
                  <c:v>26.978356716071438</c:v>
                </c:pt>
                <c:pt idx="9">
                  <c:v>26.977792680079766</c:v>
                </c:pt>
                <c:pt idx="10">
                  <c:v>26.977228644088097</c:v>
                </c:pt>
                <c:pt idx="11">
                  <c:v>26.976664608096424</c:v>
                </c:pt>
                <c:pt idx="12">
                  <c:v>26.976100572104752</c:v>
                </c:pt>
                <c:pt idx="13">
                  <c:v>26.975536536113083</c:v>
                </c:pt>
                <c:pt idx="14">
                  <c:v>26.97497250012141</c:v>
                </c:pt>
                <c:pt idx="15">
                  <c:v>26.974408464129738</c:v>
                </c:pt>
                <c:pt idx="16">
                  <c:v>26.973844428138065</c:v>
                </c:pt>
                <c:pt idx="17">
                  <c:v>26.973280392146396</c:v>
                </c:pt>
                <c:pt idx="18">
                  <c:v>26.972716356154724</c:v>
                </c:pt>
                <c:pt idx="19">
                  <c:v>26.972152320163051</c:v>
                </c:pt>
                <c:pt idx="20">
                  <c:v>26.971588284171379</c:v>
                </c:pt>
                <c:pt idx="21">
                  <c:v>26.97102424817971</c:v>
                </c:pt>
                <c:pt idx="22">
                  <c:v>26.970460212188037</c:v>
                </c:pt>
                <c:pt idx="23">
                  <c:v>26.969896176196364</c:v>
                </c:pt>
                <c:pt idx="24">
                  <c:v>26.969332140204692</c:v>
                </c:pt>
                <c:pt idx="25">
                  <c:v>26.968768104213023</c:v>
                </c:pt>
                <c:pt idx="26">
                  <c:v>26.96820406822135</c:v>
                </c:pt>
                <c:pt idx="27">
                  <c:v>26.967640032229678</c:v>
                </c:pt>
                <c:pt idx="28">
                  <c:v>26.967075996238009</c:v>
                </c:pt>
                <c:pt idx="29">
                  <c:v>26.966511960246336</c:v>
                </c:pt>
                <c:pt idx="30">
                  <c:v>26.965947924254664</c:v>
                </c:pt>
                <c:pt idx="31">
                  <c:v>26.965383888262991</c:v>
                </c:pt>
                <c:pt idx="32">
                  <c:v>26.964819852271322</c:v>
                </c:pt>
                <c:pt idx="33">
                  <c:v>26.96425581627965</c:v>
                </c:pt>
                <c:pt idx="34">
                  <c:v>26.963691780287977</c:v>
                </c:pt>
                <c:pt idx="35">
                  <c:v>26.963127744296305</c:v>
                </c:pt>
                <c:pt idx="36">
                  <c:v>26.962563708304636</c:v>
                </c:pt>
                <c:pt idx="37">
                  <c:v>26.961999672312963</c:v>
                </c:pt>
                <c:pt idx="38">
                  <c:v>26.961435636321291</c:v>
                </c:pt>
                <c:pt idx="39">
                  <c:v>26.960871600329622</c:v>
                </c:pt>
                <c:pt idx="40">
                  <c:v>26.960307564337949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CF8-44DF-941C-5F4FB33FE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23.706539182259394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</c:valAx>
      <c:valAx>
        <c:axId val="1"/>
        <c:scaling>
          <c:orientation val="minMax"/>
          <c:max val="26.9831"/>
          <c:min val="26.97449999999999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data!$P$10:$P$28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  <c:pt idx="11">
                  <c:v>11.313708498984761</c:v>
                </c:pt>
                <c:pt idx="12">
                  <c:v>15.491933384829668</c:v>
                </c:pt>
                <c:pt idx="13">
                  <c:v>18.303005217723125</c:v>
                </c:pt>
                <c:pt idx="14">
                  <c:v>19.748417658131498</c:v>
                </c:pt>
                <c:pt idx="15">
                  <c:v>26.038433132583073</c:v>
                </c:pt>
                <c:pt idx="16">
                  <c:v>37.148351242013419</c:v>
                </c:pt>
                <c:pt idx="17">
                  <c:v>38.987177379235852</c:v>
                </c:pt>
              </c:numCache>
            </c:numRef>
          </c:xVal>
          <c:yVal>
            <c:numRef>
              <c:f>data!$S$10:$S$28</c:f>
              <c:numCache>
                <c:formatCode>0.0000</c:formatCode>
                <c:ptCount val="19"/>
                <c:pt idx="0">
                  <c:v>26.974499999999999</c:v>
                </c:pt>
                <c:pt idx="1">
                  <c:v>26.974450000000001</c:v>
                </c:pt>
                <c:pt idx="2">
                  <c:v>26.974399999999999</c:v>
                </c:pt>
                <c:pt idx="3">
                  <c:v>26.974350000000001</c:v>
                </c:pt>
                <c:pt idx="4">
                  <c:v>26.974299999999999</c:v>
                </c:pt>
                <c:pt idx="5">
                  <c:v>26.974250000000001</c:v>
                </c:pt>
                <c:pt idx="6">
                  <c:v>26.9742</c:v>
                </c:pt>
                <c:pt idx="7">
                  <c:v>26.974150000000002</c:v>
                </c:pt>
                <c:pt idx="8">
                  <c:v>26.973749999999999</c:v>
                </c:pt>
                <c:pt idx="9">
                  <c:v>26.971699999999998</c:v>
                </c:pt>
                <c:pt idx="10">
                  <c:v>26.971399999999999</c:v>
                </c:pt>
                <c:pt idx="11">
                  <c:v>26.970749999999999</c:v>
                </c:pt>
                <c:pt idx="12">
                  <c:v>26.970300000000002</c:v>
                </c:pt>
                <c:pt idx="13">
                  <c:v>26.970099999999999</c:v>
                </c:pt>
                <c:pt idx="14">
                  <c:v>26.97</c:v>
                </c:pt>
                <c:pt idx="15">
                  <c:v>26.9697</c:v>
                </c:pt>
                <c:pt idx="16">
                  <c:v>26.969650000000001</c:v>
                </c:pt>
                <c:pt idx="17">
                  <c:v>26.9696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4D-4C42-836E-65A8E391C429}"/>
            </c:ext>
          </c:extLst>
        </c:ser>
        <c:ser>
          <c:idx val="1"/>
          <c:order val="1"/>
          <c:spPr>
            <a:ln w="952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chart3!$A$6:$A$7</c:f>
              <c:strCache>
                <c:ptCount val="1"/>
                <c:pt idx="0">
                  <c:v>مرحله دوم</c:v>
                </c:pt>
              </c:strCache>
            </c:strRef>
          </c:xVal>
          <c:yVal>
            <c:numRef>
              <c:f>chart3!$B$6:$B$7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4D-4C42-836E-65A8E391C429}"/>
            </c:ext>
          </c:extLst>
        </c:ser>
        <c:ser>
          <c:idx val="2"/>
          <c:order val="2"/>
          <c:tx>
            <c:v>point90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4D-4C42-836E-65A8E391C42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chart3!$A$10</c:f>
              <c:numCache>
                <c:formatCode>0.00</c:formatCode>
                <c:ptCount val="1"/>
                <c:pt idx="0">
                  <c:v>8.9459666924148351</c:v>
                </c:pt>
              </c:numCache>
            </c:numRef>
          </c:xVal>
          <c:yVal>
            <c:numRef>
              <c:f>chart3!$B$10</c:f>
              <c:numCache>
                <c:formatCode>0.0000</c:formatCode>
                <c:ptCount val="1"/>
                <c:pt idx="0">
                  <c:v>26.971200000000003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4D-4C42-836E-65A8E391C429}"/>
            </c:ext>
          </c:extLst>
        </c:ser>
        <c:ser>
          <c:idx val="3"/>
          <c:order val="3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chart3!$AC$21:$AC$41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chart3!$AD$21:$AD$41</c:f>
              <c:numCache>
                <c:formatCode>0.00</c:formatCode>
                <c:ptCount val="21"/>
                <c:pt idx="0">
                  <c:v>26.970803086222084</c:v>
                </c:pt>
                <c:pt idx="1">
                  <c:v>26.970803086222084</c:v>
                </c:pt>
                <c:pt idx="2">
                  <c:v>26.970803086222084</c:v>
                </c:pt>
                <c:pt idx="3">
                  <c:v>26.970803086222084</c:v>
                </c:pt>
                <c:pt idx="4">
                  <c:v>26.970803086222084</c:v>
                </c:pt>
                <c:pt idx="5">
                  <c:v>26.970803086222084</c:v>
                </c:pt>
                <c:pt idx="6">
                  <c:v>26.970803086222084</c:v>
                </c:pt>
                <c:pt idx="7">
                  <c:v>26.970803086222084</c:v>
                </c:pt>
                <c:pt idx="8">
                  <c:v>26.970803086222084</c:v>
                </c:pt>
                <c:pt idx="9">
                  <c:v>26.970803086222084</c:v>
                </c:pt>
                <c:pt idx="10">
                  <c:v>26.970803086222084</c:v>
                </c:pt>
                <c:pt idx="11">
                  <c:v>26.970803086222084</c:v>
                </c:pt>
                <c:pt idx="12">
                  <c:v>26.970803086222084</c:v>
                </c:pt>
                <c:pt idx="13">
                  <c:v>26.970803086222084</c:v>
                </c:pt>
                <c:pt idx="14">
                  <c:v>26.970803086222084</c:v>
                </c:pt>
                <c:pt idx="15">
                  <c:v>26.970803086222084</c:v>
                </c:pt>
                <c:pt idx="16">
                  <c:v>26.970803086222084</c:v>
                </c:pt>
                <c:pt idx="17">
                  <c:v>26.970803086222084</c:v>
                </c:pt>
                <c:pt idx="18">
                  <c:v>26.970803086222084</c:v>
                </c:pt>
                <c:pt idx="19">
                  <c:v>26.970803086222084</c:v>
                </c:pt>
                <c:pt idx="20">
                  <c:v>26.970803086222084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4D-4C42-836E-65A8E391C429}"/>
            </c:ext>
          </c:extLst>
        </c:ser>
        <c:ser>
          <c:idx val="4"/>
          <c:order val="4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chart3!$AC$21:$AC$41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chart3!$AE$21:$AE$41</c:f>
              <c:numCache>
                <c:formatCode>0.00</c:formatCode>
                <c:ptCount val="21"/>
                <c:pt idx="0">
                  <c:v>26.972787655111681</c:v>
                </c:pt>
                <c:pt idx="1">
                  <c:v>26.972787655111681</c:v>
                </c:pt>
                <c:pt idx="2">
                  <c:v>26.972787655111681</c:v>
                </c:pt>
                <c:pt idx="3">
                  <c:v>26.972787655111681</c:v>
                </c:pt>
                <c:pt idx="4">
                  <c:v>26.972787655111681</c:v>
                </c:pt>
                <c:pt idx="5">
                  <c:v>26.972787655111681</c:v>
                </c:pt>
                <c:pt idx="6">
                  <c:v>26.972787655111681</c:v>
                </c:pt>
                <c:pt idx="7">
                  <c:v>26.972787655111681</c:v>
                </c:pt>
                <c:pt idx="8">
                  <c:v>26.972787655111681</c:v>
                </c:pt>
                <c:pt idx="9">
                  <c:v>26.972787655111681</c:v>
                </c:pt>
                <c:pt idx="10">
                  <c:v>26.972787655111681</c:v>
                </c:pt>
                <c:pt idx="11">
                  <c:v>26.972787655111681</c:v>
                </c:pt>
                <c:pt idx="12">
                  <c:v>26.972787655111681</c:v>
                </c:pt>
                <c:pt idx="13">
                  <c:v>26.972787655111681</c:v>
                </c:pt>
                <c:pt idx="14">
                  <c:v>26.972787655111681</c:v>
                </c:pt>
                <c:pt idx="15">
                  <c:v>26.972787655111681</c:v>
                </c:pt>
                <c:pt idx="16">
                  <c:v>26.972787655111681</c:v>
                </c:pt>
                <c:pt idx="17">
                  <c:v>26.972787655111681</c:v>
                </c:pt>
                <c:pt idx="18">
                  <c:v>26.972787655111681</c:v>
                </c:pt>
                <c:pt idx="19">
                  <c:v>26.972787655111681</c:v>
                </c:pt>
                <c:pt idx="20">
                  <c:v>26.972787655111681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44D-4C42-836E-65A8E391C429}"/>
            </c:ext>
          </c:extLst>
        </c:ser>
        <c:ser>
          <c:idx val="5"/>
          <c:order val="5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4D-4C42-836E-65A8E391C42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chart3!$E$16</c:f>
              <c:numCache>
                <c:formatCode>0.00</c:formatCode>
                <c:ptCount val="1"/>
                <c:pt idx="0">
                  <c:v>11.022327062266413</c:v>
                </c:pt>
              </c:numCache>
            </c:numRef>
          </c:xVal>
          <c:yVal>
            <c:numRef>
              <c:f>chart3!$A$17</c:f>
              <c:numCache>
                <c:formatCode>0.0000</c:formatCode>
                <c:ptCount val="1"/>
                <c:pt idx="0">
                  <c:v>26.970803086222084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44D-4C42-836E-65A8E391C429}"/>
            </c:ext>
          </c:extLst>
        </c:ser>
        <c:ser>
          <c:idx val="6"/>
          <c:order val="6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4D-4C42-836E-65A8E391C42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chart3!$E$20</c:f>
              <c:numCache>
                <c:formatCode>0.00</c:formatCode>
                <c:ptCount val="1"/>
                <c:pt idx="0">
                  <c:v>4.6260732528135122</c:v>
                </c:pt>
              </c:numCache>
            </c:numRef>
          </c:xVal>
          <c:yVal>
            <c:numRef>
              <c:f>chart3!$A$21</c:f>
              <c:numCache>
                <c:formatCode>0.0000</c:formatCode>
                <c:ptCount val="1"/>
                <c:pt idx="0">
                  <c:v>26.972787655111681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44D-4C42-836E-65A8E391C429}"/>
            </c:ext>
          </c:extLst>
        </c:ser>
        <c:ser>
          <c:idx val="7"/>
          <c:order val="7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data!$P$10:$P$20</c:f>
              <c:numCache>
                <c:formatCode>0.00</c:formatCode>
                <c:ptCount val="11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</c:numCache>
            </c:numRef>
          </c:xVal>
          <c:yVal>
            <c:numRef>
              <c:f>data!$S$10:$S$20</c:f>
              <c:numCache>
                <c:formatCode>0.0000</c:formatCode>
                <c:ptCount val="11"/>
                <c:pt idx="0">
                  <c:v>26.974499999999999</c:v>
                </c:pt>
                <c:pt idx="1">
                  <c:v>26.974450000000001</c:v>
                </c:pt>
                <c:pt idx="2">
                  <c:v>26.974399999999999</c:v>
                </c:pt>
                <c:pt idx="3">
                  <c:v>26.974350000000001</c:v>
                </c:pt>
                <c:pt idx="4">
                  <c:v>26.974299999999999</c:v>
                </c:pt>
                <c:pt idx="5">
                  <c:v>26.974250000000001</c:v>
                </c:pt>
                <c:pt idx="6">
                  <c:v>26.9742</c:v>
                </c:pt>
                <c:pt idx="7">
                  <c:v>26.974150000000002</c:v>
                </c:pt>
                <c:pt idx="8">
                  <c:v>26.973749999999999</c:v>
                </c:pt>
                <c:pt idx="9">
                  <c:v>26.971699999999998</c:v>
                </c:pt>
                <c:pt idx="10">
                  <c:v>26.971399999999999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E6D-B201-55856B65878E}"/>
            </c:ext>
          </c:extLst>
        </c:ser>
        <c:ser>
          <c:idx val="8"/>
          <c:order val="8"/>
          <c:tx>
            <c:v>linearline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chart3!$Z$3:$Z$43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chart3!$AB$3:$AB$43</c:f>
              <c:numCache>
                <c:formatCode>0.0000</c:formatCode>
                <c:ptCount val="41"/>
                <c:pt idx="0">
                  <c:v>26.974772224001278</c:v>
                </c:pt>
                <c:pt idx="1">
                  <c:v>26.974554547878</c:v>
                </c:pt>
                <c:pt idx="2">
                  <c:v>26.974336871754723</c:v>
                </c:pt>
                <c:pt idx="3">
                  <c:v>26.974119195631445</c:v>
                </c:pt>
                <c:pt idx="4">
                  <c:v>26.973901519508168</c:v>
                </c:pt>
                <c:pt idx="5">
                  <c:v>26.97368384338489</c:v>
                </c:pt>
                <c:pt idx="6">
                  <c:v>26.973466167261613</c:v>
                </c:pt>
                <c:pt idx="7">
                  <c:v>26.973248491138339</c:v>
                </c:pt>
                <c:pt idx="8">
                  <c:v>26.973030815015061</c:v>
                </c:pt>
                <c:pt idx="9">
                  <c:v>26.972813138891784</c:v>
                </c:pt>
                <c:pt idx="10">
                  <c:v>26.972595462768506</c:v>
                </c:pt>
                <c:pt idx="11">
                  <c:v>26.972377786645229</c:v>
                </c:pt>
                <c:pt idx="12">
                  <c:v>26.972160110521951</c:v>
                </c:pt>
                <c:pt idx="13">
                  <c:v>26.971942434398674</c:v>
                </c:pt>
                <c:pt idx="14">
                  <c:v>26.971724758275396</c:v>
                </c:pt>
                <c:pt idx="15">
                  <c:v>26.971507082152119</c:v>
                </c:pt>
                <c:pt idx="16">
                  <c:v>26.971289406028841</c:v>
                </c:pt>
                <c:pt idx="17">
                  <c:v>26.971071729905564</c:v>
                </c:pt>
                <c:pt idx="18">
                  <c:v>26.970854053782286</c:v>
                </c:pt>
                <c:pt idx="19">
                  <c:v>26.970636377659012</c:v>
                </c:pt>
                <c:pt idx="20">
                  <c:v>26.970418701535735</c:v>
                </c:pt>
                <c:pt idx="21">
                  <c:v>26.970201025412457</c:v>
                </c:pt>
                <c:pt idx="22">
                  <c:v>26.96998334928918</c:v>
                </c:pt>
                <c:pt idx="23">
                  <c:v>26.969765673165902</c:v>
                </c:pt>
                <c:pt idx="24">
                  <c:v>26.969547997042625</c:v>
                </c:pt>
                <c:pt idx="25">
                  <c:v>26.969330320919347</c:v>
                </c:pt>
                <c:pt idx="26">
                  <c:v>26.96911264479607</c:v>
                </c:pt>
                <c:pt idx="27">
                  <c:v>26.968894968672792</c:v>
                </c:pt>
                <c:pt idx="28">
                  <c:v>26.968677292549515</c:v>
                </c:pt>
                <c:pt idx="29">
                  <c:v>26.968459616426237</c:v>
                </c:pt>
                <c:pt idx="30">
                  <c:v>26.96824194030296</c:v>
                </c:pt>
                <c:pt idx="31">
                  <c:v>26.968024264179682</c:v>
                </c:pt>
                <c:pt idx="32">
                  <c:v>26.967806588056408</c:v>
                </c:pt>
                <c:pt idx="33">
                  <c:v>26.967588911933131</c:v>
                </c:pt>
                <c:pt idx="34">
                  <c:v>26.967371235809853</c:v>
                </c:pt>
                <c:pt idx="35">
                  <c:v>26.967153559686576</c:v>
                </c:pt>
                <c:pt idx="36">
                  <c:v>26.966935883563298</c:v>
                </c:pt>
                <c:pt idx="37">
                  <c:v>26.966718207440021</c:v>
                </c:pt>
                <c:pt idx="38">
                  <c:v>26.966500531316743</c:v>
                </c:pt>
                <c:pt idx="39">
                  <c:v>26.966282855193466</c:v>
                </c:pt>
                <c:pt idx="40">
                  <c:v>26.966065179070188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80-4C45-AD64-56B4EBDC0B68}"/>
            </c:ext>
          </c:extLst>
        </c:ser>
        <c:ser>
          <c:idx val="9"/>
          <c:order val="9"/>
          <c:tx>
            <c:v>linearlinet1.15</c:v>
          </c:tx>
          <c:spPr>
            <a:ln w="15875"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chart3!$AA$3:$AA$43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chart3!$AB$3:$AB$43</c:f>
              <c:numCache>
                <c:formatCode>0.0000</c:formatCode>
                <c:ptCount val="41"/>
                <c:pt idx="0">
                  <c:v>26.974772224001278</c:v>
                </c:pt>
                <c:pt idx="1">
                  <c:v>26.974554547878</c:v>
                </c:pt>
                <c:pt idx="2">
                  <c:v>26.974336871754723</c:v>
                </c:pt>
                <c:pt idx="3">
                  <c:v>26.974119195631445</c:v>
                </c:pt>
                <c:pt idx="4">
                  <c:v>26.973901519508168</c:v>
                </c:pt>
                <c:pt idx="5">
                  <c:v>26.97368384338489</c:v>
                </c:pt>
                <c:pt idx="6">
                  <c:v>26.973466167261613</c:v>
                </c:pt>
                <c:pt idx="7">
                  <c:v>26.973248491138339</c:v>
                </c:pt>
                <c:pt idx="8">
                  <c:v>26.973030815015061</c:v>
                </c:pt>
                <c:pt idx="9">
                  <c:v>26.972813138891784</c:v>
                </c:pt>
                <c:pt idx="10">
                  <c:v>26.972595462768506</c:v>
                </c:pt>
                <c:pt idx="11">
                  <c:v>26.972377786645229</c:v>
                </c:pt>
                <c:pt idx="12">
                  <c:v>26.972160110521951</c:v>
                </c:pt>
                <c:pt idx="13">
                  <c:v>26.971942434398674</c:v>
                </c:pt>
                <c:pt idx="14">
                  <c:v>26.971724758275396</c:v>
                </c:pt>
                <c:pt idx="15">
                  <c:v>26.971507082152119</c:v>
                </c:pt>
                <c:pt idx="16">
                  <c:v>26.971289406028841</c:v>
                </c:pt>
                <c:pt idx="17">
                  <c:v>26.971071729905564</c:v>
                </c:pt>
                <c:pt idx="18">
                  <c:v>26.970854053782286</c:v>
                </c:pt>
                <c:pt idx="19">
                  <c:v>26.970636377659012</c:v>
                </c:pt>
                <c:pt idx="20">
                  <c:v>26.970418701535735</c:v>
                </c:pt>
                <c:pt idx="21">
                  <c:v>26.970201025412457</c:v>
                </c:pt>
                <c:pt idx="22">
                  <c:v>26.96998334928918</c:v>
                </c:pt>
                <c:pt idx="23">
                  <c:v>26.969765673165902</c:v>
                </c:pt>
                <c:pt idx="24">
                  <c:v>26.969547997042625</c:v>
                </c:pt>
                <c:pt idx="25">
                  <c:v>26.969330320919347</c:v>
                </c:pt>
                <c:pt idx="26">
                  <c:v>26.96911264479607</c:v>
                </c:pt>
                <c:pt idx="27">
                  <c:v>26.968894968672792</c:v>
                </c:pt>
                <c:pt idx="28">
                  <c:v>26.968677292549515</c:v>
                </c:pt>
                <c:pt idx="29">
                  <c:v>26.968459616426237</c:v>
                </c:pt>
                <c:pt idx="30">
                  <c:v>26.96824194030296</c:v>
                </c:pt>
                <c:pt idx="31">
                  <c:v>26.968024264179682</c:v>
                </c:pt>
                <c:pt idx="32">
                  <c:v>26.967806588056408</c:v>
                </c:pt>
                <c:pt idx="33">
                  <c:v>26.967588911933131</c:v>
                </c:pt>
                <c:pt idx="34">
                  <c:v>26.967371235809853</c:v>
                </c:pt>
                <c:pt idx="35">
                  <c:v>26.967153559686576</c:v>
                </c:pt>
                <c:pt idx="36">
                  <c:v>26.966935883563298</c:v>
                </c:pt>
                <c:pt idx="37">
                  <c:v>26.966718207440021</c:v>
                </c:pt>
                <c:pt idx="38">
                  <c:v>26.966500531316743</c:v>
                </c:pt>
                <c:pt idx="39">
                  <c:v>26.966282855193466</c:v>
                </c:pt>
                <c:pt idx="40">
                  <c:v>26.966065179070188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380-4C45-AD64-56B4EBDC0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8.3030052177231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74499999999999"/>
          <c:min val="26.969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0627155349975873"/>
          <c:w val="0.80510440835266817"/>
          <c:h val="0.7160791560247794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xVal>
            <c:numRef>
              <c:f>data!$V$10:$V$28</c:f>
              <c:numCache>
                <c:formatCode>0.00</c:formatCode>
                <c:ptCount val="19"/>
                <c:pt idx="0">
                  <c:v>0</c:v>
                </c:pt>
                <c:pt idx="1">
                  <c:v>0.2449489742783178</c:v>
                </c:pt>
                <c:pt idx="2">
                  <c:v>0.3872983346207417</c:v>
                </c:pt>
                <c:pt idx="3">
                  <c:v>0.54772255750516607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  <c:pt idx="11">
                  <c:v>10.954451150103322</c:v>
                </c:pt>
                <c:pt idx="12">
                  <c:v>17.029386365926403</c:v>
                </c:pt>
                <c:pt idx="13">
                  <c:v>19.874606914351791</c:v>
                </c:pt>
                <c:pt idx="14">
                  <c:v>35.071355833500363</c:v>
                </c:pt>
              </c:numCache>
            </c:numRef>
          </c:xVal>
          <c:yVal>
            <c:numRef>
              <c:f>data!$Y$10:$Y$28</c:f>
              <c:numCache>
                <c:formatCode>0.0000</c:formatCode>
                <c:ptCount val="19"/>
                <c:pt idx="0">
                  <c:v>26.9696</c:v>
                </c:pt>
                <c:pt idx="1">
                  <c:v>26.9681</c:v>
                </c:pt>
                <c:pt idx="2">
                  <c:v>26.967199999999998</c:v>
                </c:pt>
                <c:pt idx="3">
                  <c:v>26.9664</c:v>
                </c:pt>
                <c:pt idx="4">
                  <c:v>26.964300000000001</c:v>
                </c:pt>
                <c:pt idx="5">
                  <c:v>26.962499999999999</c:v>
                </c:pt>
                <c:pt idx="6">
                  <c:v>26.9602</c:v>
                </c:pt>
                <c:pt idx="7">
                  <c:v>26.9572</c:v>
                </c:pt>
                <c:pt idx="8">
                  <c:v>26.954699999999999</c:v>
                </c:pt>
                <c:pt idx="9">
                  <c:v>26.953600000000002</c:v>
                </c:pt>
                <c:pt idx="10">
                  <c:v>26.952750000000002</c:v>
                </c:pt>
                <c:pt idx="11">
                  <c:v>26.95205</c:v>
                </c:pt>
                <c:pt idx="12">
                  <c:v>26.9514</c:v>
                </c:pt>
                <c:pt idx="13">
                  <c:v>26.9512</c:v>
                </c:pt>
                <c:pt idx="14">
                  <c:v>26.950399999999998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C4-4F14-8010-EF2607FC5812}"/>
            </c:ext>
          </c:extLst>
        </c:ser>
        <c:ser>
          <c:idx val="1"/>
          <c:order val="1"/>
          <c:spPr>
            <a:ln w="952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chart4!#REF!</c:f>
            </c:numRef>
          </c:xVal>
          <c:yVal>
            <c:numRef>
              <c:f>chart4!#REF!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C4-4F14-8010-EF2607FC5812}"/>
            </c:ext>
          </c:extLst>
        </c:ser>
        <c:ser>
          <c:idx val="2"/>
          <c:order val="2"/>
          <c:tx>
            <c:v>point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C4-4F14-8010-EF2607FC5812}"/>
                </c:ext>
              </c:extLst>
            </c:dLbl>
            <c:numFmt formatCode="#,##0.0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chart4!$A$10</c:f>
              <c:numCache>
                <c:formatCode>0.00</c:formatCode>
                <c:ptCount val="1"/>
                <c:pt idx="0">
                  <c:v>4.0284271247461909</c:v>
                </c:pt>
              </c:numCache>
            </c:numRef>
          </c:xVal>
          <c:yVal>
            <c:numRef>
              <c:f>chart4!$B$10</c:f>
              <c:numCache>
                <c:formatCode>0.0000</c:formatCode>
                <c:ptCount val="1"/>
                <c:pt idx="0">
                  <c:v>26.954500000000003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C4-4F14-8010-EF2607FC5812}"/>
            </c:ext>
          </c:extLst>
        </c:ser>
        <c:ser>
          <c:idx val="3"/>
          <c:order val="3"/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chart4!$AC$21:$AC$41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chart4!$AD$21:$AD$41</c:f>
              <c:numCache>
                <c:formatCode>0.00</c:formatCode>
                <c:ptCount val="21"/>
                <c:pt idx="0">
                  <c:v>26.952888963269906</c:v>
                </c:pt>
                <c:pt idx="1">
                  <c:v>26.952888963269906</c:v>
                </c:pt>
                <c:pt idx="2">
                  <c:v>26.952888963269906</c:v>
                </c:pt>
                <c:pt idx="3">
                  <c:v>26.952888963269906</c:v>
                </c:pt>
                <c:pt idx="4">
                  <c:v>26.952888963269906</c:v>
                </c:pt>
                <c:pt idx="5">
                  <c:v>26.952888963269906</c:v>
                </c:pt>
                <c:pt idx="6">
                  <c:v>26.952888963269906</c:v>
                </c:pt>
                <c:pt idx="7">
                  <c:v>26.952888963269906</c:v>
                </c:pt>
                <c:pt idx="8">
                  <c:v>26.952888963269906</c:v>
                </c:pt>
                <c:pt idx="9">
                  <c:v>26.952888963269906</c:v>
                </c:pt>
                <c:pt idx="10">
                  <c:v>26.952888963269906</c:v>
                </c:pt>
                <c:pt idx="11">
                  <c:v>26.952888963269906</c:v>
                </c:pt>
                <c:pt idx="12">
                  <c:v>26.952888963269906</c:v>
                </c:pt>
                <c:pt idx="13">
                  <c:v>26.952888963269906</c:v>
                </c:pt>
                <c:pt idx="14">
                  <c:v>26.952888963269906</c:v>
                </c:pt>
                <c:pt idx="15">
                  <c:v>26.952888963269906</c:v>
                </c:pt>
                <c:pt idx="16">
                  <c:v>26.952888963269906</c:v>
                </c:pt>
                <c:pt idx="17">
                  <c:v>26.952888963269906</c:v>
                </c:pt>
                <c:pt idx="18">
                  <c:v>26.952888963269906</c:v>
                </c:pt>
                <c:pt idx="19">
                  <c:v>26.952888963269906</c:v>
                </c:pt>
                <c:pt idx="20">
                  <c:v>26.952888963269906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AC4-4F14-8010-EF2607FC5812}"/>
            </c:ext>
          </c:extLst>
        </c:ser>
        <c:ser>
          <c:idx val="4"/>
          <c:order val="4"/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chart4!$AC$21:$AC$41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chart4!$AE$21:$AE$41</c:f>
              <c:numCache>
                <c:formatCode>0.00</c:formatCode>
                <c:ptCount val="21"/>
                <c:pt idx="0">
                  <c:v>26.960944146920383</c:v>
                </c:pt>
                <c:pt idx="1">
                  <c:v>26.960944146920383</c:v>
                </c:pt>
                <c:pt idx="2">
                  <c:v>26.960944146920383</c:v>
                </c:pt>
                <c:pt idx="3">
                  <c:v>26.960944146920383</c:v>
                </c:pt>
                <c:pt idx="4">
                  <c:v>26.960944146920383</c:v>
                </c:pt>
                <c:pt idx="5">
                  <c:v>26.960944146920383</c:v>
                </c:pt>
                <c:pt idx="6">
                  <c:v>26.960944146920383</c:v>
                </c:pt>
                <c:pt idx="7">
                  <c:v>26.960944146920383</c:v>
                </c:pt>
                <c:pt idx="8">
                  <c:v>26.960944146920383</c:v>
                </c:pt>
                <c:pt idx="9">
                  <c:v>26.960944146920383</c:v>
                </c:pt>
                <c:pt idx="10">
                  <c:v>26.960944146920383</c:v>
                </c:pt>
                <c:pt idx="11">
                  <c:v>26.960944146920383</c:v>
                </c:pt>
                <c:pt idx="12">
                  <c:v>26.960944146920383</c:v>
                </c:pt>
                <c:pt idx="13">
                  <c:v>26.960944146920383</c:v>
                </c:pt>
                <c:pt idx="14">
                  <c:v>26.960944146920383</c:v>
                </c:pt>
                <c:pt idx="15">
                  <c:v>26.960944146920383</c:v>
                </c:pt>
                <c:pt idx="16">
                  <c:v>26.960944146920383</c:v>
                </c:pt>
                <c:pt idx="17">
                  <c:v>26.960944146920383</c:v>
                </c:pt>
                <c:pt idx="18">
                  <c:v>26.960944146920383</c:v>
                </c:pt>
                <c:pt idx="19">
                  <c:v>26.960944146920383</c:v>
                </c:pt>
                <c:pt idx="20">
                  <c:v>26.960944146920383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AC4-4F14-8010-EF2607FC5812}"/>
            </c:ext>
          </c:extLst>
        </c:ser>
        <c:ser>
          <c:idx val="5"/>
          <c:order val="5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5.0977759037396229E-2"/>
                  <c:y val="-3.369427476273986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C4-4F14-8010-EF2607FC581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chart4!$E$16</c:f>
              <c:numCache>
                <c:formatCode>0.00</c:formatCode>
                <c:ptCount val="1"/>
                <c:pt idx="0">
                  <c:v>7.3750588286202401</c:v>
                </c:pt>
              </c:numCache>
            </c:numRef>
          </c:xVal>
          <c:yVal>
            <c:numRef>
              <c:f>chart4!$A$17</c:f>
              <c:numCache>
                <c:formatCode>0.0000</c:formatCode>
                <c:ptCount val="1"/>
                <c:pt idx="0">
                  <c:v>26.952888963269906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AC4-4F14-8010-EF2607FC5812}"/>
            </c:ext>
          </c:extLst>
        </c:ser>
        <c:ser>
          <c:idx val="6"/>
          <c:order val="6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8517747854E-2"/>
                  <c:y val="-4.149276743994444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C4-4F14-8010-EF2607FC581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chart4!$E$20</c:f>
              <c:numCache>
                <c:formatCode>0.00</c:formatCode>
                <c:ptCount val="1"/>
                <c:pt idx="0">
                  <c:v>1.810473402799289</c:v>
                </c:pt>
              </c:numCache>
            </c:numRef>
          </c:xVal>
          <c:yVal>
            <c:numRef>
              <c:f>chart4!$A$21</c:f>
              <c:numCache>
                <c:formatCode>0.0000</c:formatCode>
                <c:ptCount val="1"/>
                <c:pt idx="0">
                  <c:v>26.960944146920383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AC4-4F14-8010-EF2607FC5812}"/>
            </c:ext>
          </c:extLst>
        </c:ser>
        <c:ser>
          <c:idx val="9"/>
          <c:order val="7"/>
          <c:spPr>
            <a:ln w="19050">
              <a:noFill/>
            </a:ln>
          </c:spPr>
          <c:marker>
            <c:symbol val="none"/>
          </c:marker>
          <c:xVal>
            <c:numRef>
              <c:f>chart4!#REF!</c:f>
            </c:numRef>
          </c:xVal>
          <c:yVal>
            <c:numRef>
              <c:f>chart4!#REF!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CAC-4453-B675-3B1D5603BF31}"/>
            </c:ext>
          </c:extLst>
        </c:ser>
        <c:ser>
          <c:idx val="10"/>
          <c:order val="8"/>
          <c:tx>
            <c:v>trdline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chart4!$Z$3:$Z$43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chart4!$AB$3:$AB$43</c:f>
              <c:numCache>
                <c:formatCode>0.0000</c:formatCode>
                <c:ptCount val="41"/>
                <c:pt idx="0">
                  <c:v>26.96899933057086</c:v>
                </c:pt>
                <c:pt idx="1">
                  <c:v>26.966913483905831</c:v>
                </c:pt>
                <c:pt idx="2">
                  <c:v>26.964827637240802</c:v>
                </c:pt>
                <c:pt idx="3">
                  <c:v>26.962741790575773</c:v>
                </c:pt>
                <c:pt idx="4">
                  <c:v>26.960655943910744</c:v>
                </c:pt>
                <c:pt idx="5">
                  <c:v>26.958570097245715</c:v>
                </c:pt>
                <c:pt idx="6">
                  <c:v>26.956484250580687</c:v>
                </c:pt>
                <c:pt idx="7">
                  <c:v>26.954398403915658</c:v>
                </c:pt>
                <c:pt idx="8">
                  <c:v>26.952312557250625</c:v>
                </c:pt>
                <c:pt idx="9">
                  <c:v>26.950226710585596</c:v>
                </c:pt>
                <c:pt idx="10">
                  <c:v>26.948140863920568</c:v>
                </c:pt>
                <c:pt idx="11">
                  <c:v>26.946055017255539</c:v>
                </c:pt>
                <c:pt idx="12">
                  <c:v>26.94396917059051</c:v>
                </c:pt>
                <c:pt idx="13">
                  <c:v>26.941883323925481</c:v>
                </c:pt>
                <c:pt idx="14">
                  <c:v>26.939797477260452</c:v>
                </c:pt>
                <c:pt idx="15">
                  <c:v>26.937711630595423</c:v>
                </c:pt>
                <c:pt idx="16">
                  <c:v>26.935625783930394</c:v>
                </c:pt>
                <c:pt idx="17">
                  <c:v>26.933539937265365</c:v>
                </c:pt>
                <c:pt idx="18">
                  <c:v>26.931454090600337</c:v>
                </c:pt>
                <c:pt idx="19">
                  <c:v>26.929368243935308</c:v>
                </c:pt>
                <c:pt idx="20">
                  <c:v>26.927282397270279</c:v>
                </c:pt>
                <c:pt idx="21">
                  <c:v>26.92519655060525</c:v>
                </c:pt>
                <c:pt idx="22">
                  <c:v>26.923110703940218</c:v>
                </c:pt>
                <c:pt idx="23">
                  <c:v>26.921024857275189</c:v>
                </c:pt>
                <c:pt idx="24">
                  <c:v>26.91893901061016</c:v>
                </c:pt>
                <c:pt idx="25">
                  <c:v>26.916853163945131</c:v>
                </c:pt>
                <c:pt idx="26">
                  <c:v>26.914767317280102</c:v>
                </c:pt>
                <c:pt idx="27">
                  <c:v>26.912681470615073</c:v>
                </c:pt>
                <c:pt idx="28">
                  <c:v>26.910595623950044</c:v>
                </c:pt>
                <c:pt idx="29">
                  <c:v>26.908509777285015</c:v>
                </c:pt>
                <c:pt idx="30">
                  <c:v>26.906423930619987</c:v>
                </c:pt>
                <c:pt idx="31">
                  <c:v>26.904338083954958</c:v>
                </c:pt>
                <c:pt idx="32">
                  <c:v>26.902252237289929</c:v>
                </c:pt>
                <c:pt idx="33">
                  <c:v>26.9001663906249</c:v>
                </c:pt>
                <c:pt idx="34">
                  <c:v>26.898080543959871</c:v>
                </c:pt>
                <c:pt idx="35">
                  <c:v>26.895994697294842</c:v>
                </c:pt>
                <c:pt idx="36">
                  <c:v>26.89390885062981</c:v>
                </c:pt>
                <c:pt idx="37">
                  <c:v>26.891823003964781</c:v>
                </c:pt>
                <c:pt idx="38">
                  <c:v>26.889737157299752</c:v>
                </c:pt>
                <c:pt idx="39">
                  <c:v>26.887651310634723</c:v>
                </c:pt>
                <c:pt idx="40">
                  <c:v>26.885565463969694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603-4A07-9F44-183A9B45BCA9}"/>
            </c:ext>
          </c:extLst>
        </c:ser>
        <c:ser>
          <c:idx val="11"/>
          <c:order val="9"/>
          <c:spPr>
            <a:ln w="12700"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chart4!$AA$3:$AA$43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chart4!$AB$3:$AB$43</c:f>
              <c:numCache>
                <c:formatCode>0.0000</c:formatCode>
                <c:ptCount val="41"/>
                <c:pt idx="0">
                  <c:v>26.96899933057086</c:v>
                </c:pt>
                <c:pt idx="1">
                  <c:v>26.966913483905831</c:v>
                </c:pt>
                <c:pt idx="2">
                  <c:v>26.964827637240802</c:v>
                </c:pt>
                <c:pt idx="3">
                  <c:v>26.962741790575773</c:v>
                </c:pt>
                <c:pt idx="4">
                  <c:v>26.960655943910744</c:v>
                </c:pt>
                <c:pt idx="5">
                  <c:v>26.958570097245715</c:v>
                </c:pt>
                <c:pt idx="6">
                  <c:v>26.956484250580687</c:v>
                </c:pt>
                <c:pt idx="7">
                  <c:v>26.954398403915658</c:v>
                </c:pt>
                <c:pt idx="8">
                  <c:v>26.952312557250625</c:v>
                </c:pt>
                <c:pt idx="9">
                  <c:v>26.950226710585596</c:v>
                </c:pt>
                <c:pt idx="10">
                  <c:v>26.948140863920568</c:v>
                </c:pt>
                <c:pt idx="11">
                  <c:v>26.946055017255539</c:v>
                </c:pt>
                <c:pt idx="12">
                  <c:v>26.94396917059051</c:v>
                </c:pt>
                <c:pt idx="13">
                  <c:v>26.941883323925481</c:v>
                </c:pt>
                <c:pt idx="14">
                  <c:v>26.939797477260452</c:v>
                </c:pt>
                <c:pt idx="15">
                  <c:v>26.937711630595423</c:v>
                </c:pt>
                <c:pt idx="16">
                  <c:v>26.935625783930394</c:v>
                </c:pt>
                <c:pt idx="17">
                  <c:v>26.933539937265365</c:v>
                </c:pt>
                <c:pt idx="18">
                  <c:v>26.931454090600337</c:v>
                </c:pt>
                <c:pt idx="19">
                  <c:v>26.929368243935308</c:v>
                </c:pt>
                <c:pt idx="20">
                  <c:v>26.927282397270279</c:v>
                </c:pt>
                <c:pt idx="21">
                  <c:v>26.92519655060525</c:v>
                </c:pt>
                <c:pt idx="22">
                  <c:v>26.923110703940218</c:v>
                </c:pt>
                <c:pt idx="23">
                  <c:v>26.921024857275189</c:v>
                </c:pt>
                <c:pt idx="24">
                  <c:v>26.91893901061016</c:v>
                </c:pt>
                <c:pt idx="25">
                  <c:v>26.916853163945131</c:v>
                </c:pt>
                <c:pt idx="26">
                  <c:v>26.914767317280102</c:v>
                </c:pt>
                <c:pt idx="27">
                  <c:v>26.912681470615073</c:v>
                </c:pt>
                <c:pt idx="28">
                  <c:v>26.910595623950044</c:v>
                </c:pt>
                <c:pt idx="29">
                  <c:v>26.908509777285015</c:v>
                </c:pt>
                <c:pt idx="30">
                  <c:v>26.906423930619987</c:v>
                </c:pt>
                <c:pt idx="31">
                  <c:v>26.904338083954958</c:v>
                </c:pt>
                <c:pt idx="32">
                  <c:v>26.902252237289929</c:v>
                </c:pt>
                <c:pt idx="33">
                  <c:v>26.9001663906249</c:v>
                </c:pt>
                <c:pt idx="34">
                  <c:v>26.898080543959871</c:v>
                </c:pt>
                <c:pt idx="35">
                  <c:v>26.895994697294842</c:v>
                </c:pt>
                <c:pt idx="36">
                  <c:v>26.89390885062981</c:v>
                </c:pt>
                <c:pt idx="37">
                  <c:v>26.891823003964781</c:v>
                </c:pt>
                <c:pt idx="38">
                  <c:v>26.889737157299752</c:v>
                </c:pt>
                <c:pt idx="39">
                  <c:v>26.887651310634723</c:v>
                </c:pt>
                <c:pt idx="40">
                  <c:v>26.885565463969694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603-4A07-9F44-183A9B45BCA9}"/>
            </c:ext>
          </c:extLst>
        </c:ser>
        <c:ser>
          <c:idx val="7"/>
          <c:order val="10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data!$V$10:$V$17</c:f>
              <c:numCache>
                <c:formatCode>0.00</c:formatCode>
                <c:ptCount val="8"/>
                <c:pt idx="0">
                  <c:v>0</c:v>
                </c:pt>
                <c:pt idx="1">
                  <c:v>0.2449489742783178</c:v>
                </c:pt>
                <c:pt idx="2">
                  <c:v>0.3872983346207417</c:v>
                </c:pt>
                <c:pt idx="3">
                  <c:v>0.54772255750516607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</c:numCache>
            </c:numRef>
          </c:xVal>
          <c:yVal>
            <c:numRef>
              <c:f>data!$Y$10:$Y$17</c:f>
              <c:numCache>
                <c:formatCode>0.0000</c:formatCode>
                <c:ptCount val="8"/>
                <c:pt idx="0">
                  <c:v>26.9696</c:v>
                </c:pt>
                <c:pt idx="1">
                  <c:v>26.9681</c:v>
                </c:pt>
                <c:pt idx="2">
                  <c:v>26.967199999999998</c:v>
                </c:pt>
                <c:pt idx="3">
                  <c:v>26.9664</c:v>
                </c:pt>
                <c:pt idx="4">
                  <c:v>26.964300000000001</c:v>
                </c:pt>
                <c:pt idx="5">
                  <c:v>26.962499999999999</c:v>
                </c:pt>
                <c:pt idx="6">
                  <c:v>26.9602</c:v>
                </c:pt>
                <c:pt idx="7">
                  <c:v>26.9572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B6-40B3-9C34-CF7AD2036B53}"/>
            </c:ext>
          </c:extLst>
        </c:ser>
        <c:ser>
          <c:idx val="8"/>
          <c:order val="11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data!$D$10:$D$18</c:f>
              <c:numCache>
                <c:formatCode>0.00</c:formatCode>
                <c:ptCount val="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</c:numCache>
            </c:numRef>
          </c:xVal>
          <c:yVal>
            <c:numRef>
              <c:f>data!$G$10:$G$18</c:f>
              <c:numCache>
                <c:formatCode>0.0000</c:formatCode>
                <c:ptCount val="9"/>
                <c:pt idx="0">
                  <c:v>27</c:v>
                </c:pt>
                <c:pt idx="1">
                  <c:v>26.998699999999999</c:v>
                </c:pt>
                <c:pt idx="2">
                  <c:v>26.998200000000001</c:v>
                </c:pt>
                <c:pt idx="3">
                  <c:v>26.997499999999999</c:v>
                </c:pt>
                <c:pt idx="4">
                  <c:v>26.996600000000001</c:v>
                </c:pt>
                <c:pt idx="5">
                  <c:v>26.995999999999999</c:v>
                </c:pt>
                <c:pt idx="6">
                  <c:v>26.994599999999998</c:v>
                </c:pt>
                <c:pt idx="7">
                  <c:v>26.9923</c:v>
                </c:pt>
                <c:pt idx="8">
                  <c:v>26.991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B6-40B3-9C34-CF7AD2036B53}"/>
            </c:ext>
          </c:extLst>
        </c:ser>
        <c:ser>
          <c:idx val="12"/>
          <c:order val="12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data!$D$10:$D$17</c:f>
              <c:numCache>
                <c:formatCode>0.00</c:formatCode>
                <c:ptCount val="8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</c:numCache>
            </c:numRef>
          </c:xVal>
          <c:yVal>
            <c:numRef>
              <c:f>data!$G$10:$G$17</c:f>
              <c:numCache>
                <c:formatCode>0.0000</c:formatCode>
                <c:ptCount val="8"/>
                <c:pt idx="0">
                  <c:v>27</c:v>
                </c:pt>
                <c:pt idx="1">
                  <c:v>26.998699999999999</c:v>
                </c:pt>
                <c:pt idx="2">
                  <c:v>26.998200000000001</c:v>
                </c:pt>
                <c:pt idx="3">
                  <c:v>26.997499999999999</c:v>
                </c:pt>
                <c:pt idx="4">
                  <c:v>26.996600000000001</c:v>
                </c:pt>
                <c:pt idx="5">
                  <c:v>26.995999999999999</c:v>
                </c:pt>
                <c:pt idx="6">
                  <c:v>26.994599999999998</c:v>
                </c:pt>
                <c:pt idx="7">
                  <c:v>26.9923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B6-40B3-9C34-CF7AD2036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9.87460691435179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696"/>
          <c:min val="26.95039999999999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data!$AB$10:$AB$28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  <c:pt idx="11">
                  <c:v>10.954451150103322</c:v>
                </c:pt>
              </c:numCache>
            </c:numRef>
          </c:xVal>
          <c:yVal>
            <c:numRef>
              <c:f>data!$AE$10:$AE$28</c:f>
              <c:numCache>
                <c:formatCode>0.0000</c:formatCode>
                <c:ptCount val="19"/>
                <c:pt idx="0">
                  <c:v>26.955950000000001</c:v>
                </c:pt>
                <c:pt idx="1">
                  <c:v>26.955929999999999</c:v>
                </c:pt>
                <c:pt idx="2">
                  <c:v>26.9559</c:v>
                </c:pt>
                <c:pt idx="3">
                  <c:v>26.955880000000001</c:v>
                </c:pt>
                <c:pt idx="4">
                  <c:v>26.955850000000002</c:v>
                </c:pt>
                <c:pt idx="5">
                  <c:v>26.955839999999998</c:v>
                </c:pt>
                <c:pt idx="6">
                  <c:v>26.955819999999999</c:v>
                </c:pt>
                <c:pt idx="7">
                  <c:v>26.9558</c:v>
                </c:pt>
                <c:pt idx="8">
                  <c:v>26.95579</c:v>
                </c:pt>
                <c:pt idx="9">
                  <c:v>26.955760000000001</c:v>
                </c:pt>
                <c:pt idx="10">
                  <c:v>26.955760000000001</c:v>
                </c:pt>
                <c:pt idx="11">
                  <c:v>26.955760000000001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A0-4231-83FF-D7D68972B502}"/>
            </c:ext>
          </c:extLst>
        </c:ser>
        <c:ser>
          <c:idx val="2"/>
          <c:order val="1"/>
          <c:tx>
            <c:v>point90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A0-4231-83FF-D7D68972B50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chart5!$A$10</c:f>
              <c:numCache>
                <c:formatCode>0.00</c:formatCode>
                <c:ptCount val="1"/>
                <c:pt idx="0">
                  <c:v>2.2999999999999998</c:v>
                </c:pt>
              </c:numCache>
            </c:numRef>
          </c:xVal>
          <c:yVal>
            <c:numRef>
              <c:f>chart5!$B$10</c:f>
              <c:numCache>
                <c:formatCode>0.0000</c:formatCode>
                <c:ptCount val="1"/>
                <c:pt idx="0">
                  <c:v>26.95579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A0-4231-83FF-D7D68972B502}"/>
            </c:ext>
          </c:extLst>
        </c:ser>
        <c:ser>
          <c:idx val="3"/>
          <c:order val="2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chart5!$AC$21:$AC$41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chart5!$AD$21:$AD$41</c:f>
              <c:numCache>
                <c:formatCode>0.00</c:formatCode>
                <c:ptCount val="21"/>
                <c:pt idx="0">
                  <c:v>26.955773502447055</c:v>
                </c:pt>
                <c:pt idx="1">
                  <c:v>26.955773502447055</c:v>
                </c:pt>
                <c:pt idx="2">
                  <c:v>26.955773502447055</c:v>
                </c:pt>
                <c:pt idx="3">
                  <c:v>26.955773502447055</c:v>
                </c:pt>
                <c:pt idx="4">
                  <c:v>26.955773502447055</c:v>
                </c:pt>
                <c:pt idx="5">
                  <c:v>26.955773502447055</c:v>
                </c:pt>
                <c:pt idx="6">
                  <c:v>26.955773502447055</c:v>
                </c:pt>
                <c:pt idx="7">
                  <c:v>26.955773502447055</c:v>
                </c:pt>
                <c:pt idx="8">
                  <c:v>26.955773502447055</c:v>
                </c:pt>
                <c:pt idx="9">
                  <c:v>26.955773502447055</c:v>
                </c:pt>
                <c:pt idx="10">
                  <c:v>26.955773502447055</c:v>
                </c:pt>
                <c:pt idx="11">
                  <c:v>26.955773502447055</c:v>
                </c:pt>
                <c:pt idx="12">
                  <c:v>26.955773502447055</c:v>
                </c:pt>
                <c:pt idx="13">
                  <c:v>26.955773502447055</c:v>
                </c:pt>
                <c:pt idx="14">
                  <c:v>26.955773502447055</c:v>
                </c:pt>
                <c:pt idx="15">
                  <c:v>26.955773502447055</c:v>
                </c:pt>
                <c:pt idx="16">
                  <c:v>26.955773502447055</c:v>
                </c:pt>
                <c:pt idx="17">
                  <c:v>26.955773502447055</c:v>
                </c:pt>
                <c:pt idx="18">
                  <c:v>26.955773502447055</c:v>
                </c:pt>
                <c:pt idx="19">
                  <c:v>26.955773502447055</c:v>
                </c:pt>
                <c:pt idx="20">
                  <c:v>26.955773502447055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A0-4231-83FF-D7D68972B502}"/>
            </c:ext>
          </c:extLst>
        </c:ser>
        <c:ser>
          <c:idx val="4"/>
          <c:order val="3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chart5!$AC$21:$AC$41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chart5!$AE$21:$AE$41</c:f>
              <c:numCache>
                <c:formatCode>0.00</c:formatCode>
                <c:ptCount val="21"/>
                <c:pt idx="0">
                  <c:v>26.955855990211788</c:v>
                </c:pt>
                <c:pt idx="1">
                  <c:v>26.955855990211788</c:v>
                </c:pt>
                <c:pt idx="2">
                  <c:v>26.955855990211788</c:v>
                </c:pt>
                <c:pt idx="3">
                  <c:v>26.955855990211788</c:v>
                </c:pt>
                <c:pt idx="4">
                  <c:v>26.955855990211788</c:v>
                </c:pt>
                <c:pt idx="5">
                  <c:v>26.955855990211788</c:v>
                </c:pt>
                <c:pt idx="6">
                  <c:v>26.955855990211788</c:v>
                </c:pt>
                <c:pt idx="7">
                  <c:v>26.955855990211788</c:v>
                </c:pt>
                <c:pt idx="8">
                  <c:v>26.955855990211788</c:v>
                </c:pt>
                <c:pt idx="9">
                  <c:v>26.955855990211788</c:v>
                </c:pt>
                <c:pt idx="10">
                  <c:v>26.955855990211788</c:v>
                </c:pt>
                <c:pt idx="11">
                  <c:v>26.955855990211788</c:v>
                </c:pt>
                <c:pt idx="12">
                  <c:v>26.955855990211788</c:v>
                </c:pt>
                <c:pt idx="13">
                  <c:v>26.955855990211788</c:v>
                </c:pt>
                <c:pt idx="14">
                  <c:v>26.955855990211788</c:v>
                </c:pt>
                <c:pt idx="15">
                  <c:v>26.955855990211788</c:v>
                </c:pt>
                <c:pt idx="16">
                  <c:v>26.955855990211788</c:v>
                </c:pt>
                <c:pt idx="17">
                  <c:v>26.955855990211788</c:v>
                </c:pt>
                <c:pt idx="18">
                  <c:v>26.955855990211788</c:v>
                </c:pt>
                <c:pt idx="19">
                  <c:v>26.955855990211788</c:v>
                </c:pt>
                <c:pt idx="20">
                  <c:v>26.955855990211788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A0-4231-83FF-D7D68972B502}"/>
            </c:ext>
          </c:extLst>
        </c:ser>
        <c:ser>
          <c:idx val="5"/>
          <c:order val="4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A0-4231-83FF-D7D68972B50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chart5!$E$16</c:f>
              <c:numCache>
                <c:formatCode>0.00</c:formatCode>
                <c:ptCount val="1"/>
                <c:pt idx="0">
                  <c:v>4.7551857165526599</c:v>
                </c:pt>
              </c:numCache>
            </c:numRef>
          </c:xVal>
          <c:yVal>
            <c:numRef>
              <c:f>chart5!$A$17</c:f>
              <c:numCache>
                <c:formatCode>0.0000</c:formatCode>
                <c:ptCount val="1"/>
                <c:pt idx="0">
                  <c:v>26.955773502447055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A0-4231-83FF-D7D68972B502}"/>
            </c:ext>
          </c:extLst>
        </c:ser>
        <c:ser>
          <c:idx val="6"/>
          <c:order val="5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A0-4231-83FF-D7D68972B50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chart5!$E$20</c:f>
              <c:numCache>
                <c:formatCode>0.00</c:formatCode>
                <c:ptCount val="1"/>
                <c:pt idx="0">
                  <c:v>0.94151691964361817</c:v>
                </c:pt>
              </c:numCache>
            </c:numRef>
          </c:xVal>
          <c:yVal>
            <c:numRef>
              <c:f>chart5!$A$21</c:f>
              <c:numCache>
                <c:formatCode>0.0000</c:formatCode>
                <c:ptCount val="1"/>
                <c:pt idx="0">
                  <c:v>26.955855990211788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BA0-4231-83FF-D7D68972B502}"/>
            </c:ext>
          </c:extLst>
        </c:ser>
        <c:ser>
          <c:idx val="1"/>
          <c:order val="6"/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0-9E23-42C0-9231-5EDCA40501EB}"/>
            </c:ext>
          </c:extLst>
        </c:ser>
        <c:ser>
          <c:idx val="8"/>
          <c:order val="7"/>
          <c:tx>
            <c:v>linearline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chart5!$Z$3:$Z$43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chart5!$AB$3:$AB$43</c:f>
              <c:numCache>
                <c:formatCode>0.0000</c:formatCode>
                <c:ptCount val="41"/>
                <c:pt idx="0">
                  <c:v>26.955938477976517</c:v>
                </c:pt>
                <c:pt idx="1">
                  <c:v>26.955908858482388</c:v>
                </c:pt>
                <c:pt idx="2">
                  <c:v>26.95587923898826</c:v>
                </c:pt>
                <c:pt idx="3">
                  <c:v>26.955849619494128</c:v>
                </c:pt>
                <c:pt idx="4">
                  <c:v>26.955819999999999</c:v>
                </c:pt>
                <c:pt idx="5">
                  <c:v>26.955790380505871</c:v>
                </c:pt>
                <c:pt idx="6">
                  <c:v>26.955760761011739</c:v>
                </c:pt>
                <c:pt idx="7">
                  <c:v>26.95573114151761</c:v>
                </c:pt>
                <c:pt idx="8">
                  <c:v>26.955701522023482</c:v>
                </c:pt>
                <c:pt idx="9">
                  <c:v>26.955671902529353</c:v>
                </c:pt>
                <c:pt idx="10">
                  <c:v>26.955642283035225</c:v>
                </c:pt>
                <c:pt idx="11">
                  <c:v>26.955612663541093</c:v>
                </c:pt>
                <c:pt idx="12">
                  <c:v>26.955583044046964</c:v>
                </c:pt>
                <c:pt idx="13">
                  <c:v>26.955553424552836</c:v>
                </c:pt>
                <c:pt idx="14">
                  <c:v>26.955523805058704</c:v>
                </c:pt>
                <c:pt idx="15">
                  <c:v>26.955494185564575</c:v>
                </c:pt>
                <c:pt idx="16">
                  <c:v>26.955464566070447</c:v>
                </c:pt>
                <c:pt idx="17">
                  <c:v>26.955434946576318</c:v>
                </c:pt>
                <c:pt idx="18">
                  <c:v>26.95540532708219</c:v>
                </c:pt>
                <c:pt idx="19">
                  <c:v>26.955375707588058</c:v>
                </c:pt>
                <c:pt idx="20">
                  <c:v>26.955346088093929</c:v>
                </c:pt>
                <c:pt idx="21">
                  <c:v>26.955316468599801</c:v>
                </c:pt>
                <c:pt idx="22">
                  <c:v>26.955286849105669</c:v>
                </c:pt>
                <c:pt idx="23">
                  <c:v>26.95525722961154</c:v>
                </c:pt>
                <c:pt idx="24">
                  <c:v>26.955227610117412</c:v>
                </c:pt>
                <c:pt idx="25">
                  <c:v>26.955197990623283</c:v>
                </c:pt>
                <c:pt idx="26">
                  <c:v>26.955168371129155</c:v>
                </c:pt>
                <c:pt idx="27">
                  <c:v>26.955138751635022</c:v>
                </c:pt>
                <c:pt idx="28">
                  <c:v>26.955109132140894</c:v>
                </c:pt>
                <c:pt idx="29">
                  <c:v>26.955079512646765</c:v>
                </c:pt>
                <c:pt idx="30">
                  <c:v>26.955049893152633</c:v>
                </c:pt>
                <c:pt idx="31">
                  <c:v>26.955020273658505</c:v>
                </c:pt>
                <c:pt idx="32">
                  <c:v>26.954990654164376</c:v>
                </c:pt>
                <c:pt idx="33">
                  <c:v>26.954961034670248</c:v>
                </c:pt>
                <c:pt idx="34">
                  <c:v>26.954931415176119</c:v>
                </c:pt>
                <c:pt idx="35">
                  <c:v>26.954901795681987</c:v>
                </c:pt>
                <c:pt idx="36">
                  <c:v>26.954872176187859</c:v>
                </c:pt>
                <c:pt idx="37">
                  <c:v>26.95484255669373</c:v>
                </c:pt>
                <c:pt idx="38">
                  <c:v>26.954812937199598</c:v>
                </c:pt>
                <c:pt idx="39">
                  <c:v>26.95478331770547</c:v>
                </c:pt>
                <c:pt idx="40">
                  <c:v>26.954753698211341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23-42C0-9231-5EDCA40501EB}"/>
            </c:ext>
          </c:extLst>
        </c:ser>
        <c:ser>
          <c:idx val="9"/>
          <c:order val="8"/>
          <c:tx>
            <c:v>linearlinet1.15</c:v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chart5!$AA$3:$AA$43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chart5!$AB$3:$AB$43</c:f>
              <c:numCache>
                <c:formatCode>0.0000</c:formatCode>
                <c:ptCount val="41"/>
                <c:pt idx="0">
                  <c:v>26.955938477976517</c:v>
                </c:pt>
                <c:pt idx="1">
                  <c:v>26.955908858482388</c:v>
                </c:pt>
                <c:pt idx="2">
                  <c:v>26.95587923898826</c:v>
                </c:pt>
                <c:pt idx="3">
                  <c:v>26.955849619494128</c:v>
                </c:pt>
                <c:pt idx="4">
                  <c:v>26.955819999999999</c:v>
                </c:pt>
                <c:pt idx="5">
                  <c:v>26.955790380505871</c:v>
                </c:pt>
                <c:pt idx="6">
                  <c:v>26.955760761011739</c:v>
                </c:pt>
                <c:pt idx="7">
                  <c:v>26.95573114151761</c:v>
                </c:pt>
                <c:pt idx="8">
                  <c:v>26.955701522023482</c:v>
                </c:pt>
                <c:pt idx="9">
                  <c:v>26.955671902529353</c:v>
                </c:pt>
                <c:pt idx="10">
                  <c:v>26.955642283035225</c:v>
                </c:pt>
                <c:pt idx="11">
                  <c:v>26.955612663541093</c:v>
                </c:pt>
                <c:pt idx="12">
                  <c:v>26.955583044046964</c:v>
                </c:pt>
                <c:pt idx="13">
                  <c:v>26.955553424552836</c:v>
                </c:pt>
                <c:pt idx="14">
                  <c:v>26.955523805058704</c:v>
                </c:pt>
                <c:pt idx="15">
                  <c:v>26.955494185564575</c:v>
                </c:pt>
                <c:pt idx="16">
                  <c:v>26.955464566070447</c:v>
                </c:pt>
                <c:pt idx="17">
                  <c:v>26.955434946576318</c:v>
                </c:pt>
                <c:pt idx="18">
                  <c:v>26.95540532708219</c:v>
                </c:pt>
                <c:pt idx="19">
                  <c:v>26.955375707588058</c:v>
                </c:pt>
                <c:pt idx="20">
                  <c:v>26.955346088093929</c:v>
                </c:pt>
                <c:pt idx="21">
                  <c:v>26.955316468599801</c:v>
                </c:pt>
                <c:pt idx="22">
                  <c:v>26.955286849105669</c:v>
                </c:pt>
                <c:pt idx="23">
                  <c:v>26.95525722961154</c:v>
                </c:pt>
                <c:pt idx="24">
                  <c:v>26.955227610117412</c:v>
                </c:pt>
                <c:pt idx="25">
                  <c:v>26.955197990623283</c:v>
                </c:pt>
                <c:pt idx="26">
                  <c:v>26.955168371129155</c:v>
                </c:pt>
                <c:pt idx="27">
                  <c:v>26.955138751635022</c:v>
                </c:pt>
                <c:pt idx="28">
                  <c:v>26.955109132140894</c:v>
                </c:pt>
                <c:pt idx="29">
                  <c:v>26.955079512646765</c:v>
                </c:pt>
                <c:pt idx="30">
                  <c:v>26.955049893152633</c:v>
                </c:pt>
                <c:pt idx="31">
                  <c:v>26.955020273658505</c:v>
                </c:pt>
                <c:pt idx="32">
                  <c:v>26.954990654164376</c:v>
                </c:pt>
                <c:pt idx="33">
                  <c:v>26.954961034670248</c:v>
                </c:pt>
                <c:pt idx="34">
                  <c:v>26.954931415176119</c:v>
                </c:pt>
                <c:pt idx="35">
                  <c:v>26.954901795681987</c:v>
                </c:pt>
                <c:pt idx="36">
                  <c:v>26.954872176187859</c:v>
                </c:pt>
                <c:pt idx="37">
                  <c:v>26.95484255669373</c:v>
                </c:pt>
                <c:pt idx="38">
                  <c:v>26.954812937199598</c:v>
                </c:pt>
                <c:pt idx="39">
                  <c:v>26.95478331770547</c:v>
                </c:pt>
                <c:pt idx="40">
                  <c:v>26.954753698211341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23-42C0-9231-5EDCA40501EB}"/>
            </c:ext>
          </c:extLst>
        </c:ser>
        <c:ser>
          <c:idx val="7"/>
          <c:order val="9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data!$AB$10:$AB$16</c:f>
              <c:numCache>
                <c:formatCode>0.00</c:formatCode>
                <c:ptCount val="7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</c:numCache>
            </c:numRef>
          </c:xVal>
          <c:yVal>
            <c:numRef>
              <c:f>data!$AE$10:$AE$16</c:f>
              <c:numCache>
                <c:formatCode>0.0000</c:formatCode>
                <c:ptCount val="7"/>
                <c:pt idx="0">
                  <c:v>26.955950000000001</c:v>
                </c:pt>
                <c:pt idx="1">
                  <c:v>26.955929999999999</c:v>
                </c:pt>
                <c:pt idx="2">
                  <c:v>26.9559</c:v>
                </c:pt>
                <c:pt idx="3">
                  <c:v>26.955880000000001</c:v>
                </c:pt>
                <c:pt idx="4">
                  <c:v>26.955850000000002</c:v>
                </c:pt>
                <c:pt idx="5">
                  <c:v>26.955839999999998</c:v>
                </c:pt>
                <c:pt idx="6">
                  <c:v>26.955819999999999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43-4B6E-B7CD-6F944A191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0.954451150103322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55950000000001"/>
          <c:min val="26.95576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data!$AH$10:$AH$28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  <c:pt idx="11">
                  <c:v>10.954451150103322</c:v>
                </c:pt>
              </c:numCache>
            </c:numRef>
          </c:xVal>
          <c:yVal>
            <c:numRef>
              <c:f>data!$AK$10:$AK$28</c:f>
              <c:numCache>
                <c:formatCode>0.0000</c:formatCode>
                <c:ptCount val="19"/>
                <c:pt idx="0">
                  <c:v>26.955760000000001</c:v>
                </c:pt>
                <c:pt idx="1">
                  <c:v>26.95571</c:v>
                </c:pt>
                <c:pt idx="2">
                  <c:v>26.955660000000002</c:v>
                </c:pt>
                <c:pt idx="3">
                  <c:v>26.955559999999998</c:v>
                </c:pt>
                <c:pt idx="4">
                  <c:v>26.955490000000001</c:v>
                </c:pt>
                <c:pt idx="5">
                  <c:v>26.955469999999998</c:v>
                </c:pt>
                <c:pt idx="6">
                  <c:v>26.955459999999999</c:v>
                </c:pt>
                <c:pt idx="7">
                  <c:v>26.955410000000001</c:v>
                </c:pt>
                <c:pt idx="8">
                  <c:v>26.955369999999998</c:v>
                </c:pt>
                <c:pt idx="9">
                  <c:v>26.955359999999999</c:v>
                </c:pt>
                <c:pt idx="10">
                  <c:v>26.955349999999999</c:v>
                </c:pt>
                <c:pt idx="11">
                  <c:v>26.955349999999999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5-45CE-B54B-AAF21E3D1EE2}"/>
            </c:ext>
          </c:extLst>
        </c:ser>
        <c:ser>
          <c:idx val="2"/>
          <c:order val="1"/>
          <c:tx>
            <c:v>point90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25-45CE-B54B-AAF21E3D1EE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chart6!$A$10</c:f>
              <c:numCache>
                <c:formatCode>0.00</c:formatCode>
                <c:ptCount val="1"/>
                <c:pt idx="0">
                  <c:v>3</c:v>
                </c:pt>
              </c:numCache>
            </c:numRef>
          </c:xVal>
          <c:yVal>
            <c:numRef>
              <c:f>chart6!$B$10</c:f>
              <c:numCache>
                <c:formatCode>0.0000</c:formatCode>
                <c:ptCount val="1"/>
                <c:pt idx="0">
                  <c:v>26.955369999999998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25-45CE-B54B-AAF21E3D1EE2}"/>
            </c:ext>
          </c:extLst>
        </c:ser>
        <c:ser>
          <c:idx val="3"/>
          <c:order val="2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chart6!$AC$21:$AC$41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chart6!$AD$21:$AD$41</c:f>
              <c:numCache>
                <c:formatCode>0.00</c:formatCode>
                <c:ptCount val="21"/>
                <c:pt idx="0">
                  <c:v>26.955330430974278</c:v>
                </c:pt>
                <c:pt idx="1">
                  <c:v>26.955330430974278</c:v>
                </c:pt>
                <c:pt idx="2">
                  <c:v>26.955330430974278</c:v>
                </c:pt>
                <c:pt idx="3">
                  <c:v>26.955330430974278</c:v>
                </c:pt>
                <c:pt idx="4">
                  <c:v>26.955330430974278</c:v>
                </c:pt>
                <c:pt idx="5">
                  <c:v>26.955330430974278</c:v>
                </c:pt>
                <c:pt idx="6">
                  <c:v>26.955330430974278</c:v>
                </c:pt>
                <c:pt idx="7">
                  <c:v>26.955330430974278</c:v>
                </c:pt>
                <c:pt idx="8">
                  <c:v>26.955330430974278</c:v>
                </c:pt>
                <c:pt idx="9">
                  <c:v>26.955330430974278</c:v>
                </c:pt>
                <c:pt idx="10">
                  <c:v>26.955330430974278</c:v>
                </c:pt>
                <c:pt idx="11">
                  <c:v>26.955330430974278</c:v>
                </c:pt>
                <c:pt idx="12">
                  <c:v>26.955330430974278</c:v>
                </c:pt>
                <c:pt idx="13">
                  <c:v>26.955330430974278</c:v>
                </c:pt>
                <c:pt idx="14">
                  <c:v>26.955330430974278</c:v>
                </c:pt>
                <c:pt idx="15">
                  <c:v>26.955330430974278</c:v>
                </c:pt>
                <c:pt idx="16">
                  <c:v>26.955330430974278</c:v>
                </c:pt>
                <c:pt idx="17">
                  <c:v>26.955330430974278</c:v>
                </c:pt>
                <c:pt idx="18">
                  <c:v>26.955330430974278</c:v>
                </c:pt>
                <c:pt idx="19">
                  <c:v>26.955330430974278</c:v>
                </c:pt>
                <c:pt idx="20">
                  <c:v>26.955330430974278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25-45CE-B54B-AAF21E3D1EE2}"/>
            </c:ext>
          </c:extLst>
        </c:ser>
        <c:ser>
          <c:idx val="4"/>
          <c:order val="3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chart6!$AC$21:$AC$41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chart6!$AE$21:$AE$41</c:f>
              <c:numCache>
                <c:formatCode>0.00</c:formatCode>
                <c:ptCount val="21"/>
                <c:pt idx="0">
                  <c:v>26.955528276102886</c:v>
                </c:pt>
                <c:pt idx="1">
                  <c:v>26.955528276102886</c:v>
                </c:pt>
                <c:pt idx="2">
                  <c:v>26.955528276102886</c:v>
                </c:pt>
                <c:pt idx="3">
                  <c:v>26.955528276102886</c:v>
                </c:pt>
                <c:pt idx="4">
                  <c:v>26.955528276102886</c:v>
                </c:pt>
                <c:pt idx="5">
                  <c:v>26.955528276102886</c:v>
                </c:pt>
                <c:pt idx="6">
                  <c:v>26.955528276102886</c:v>
                </c:pt>
                <c:pt idx="7">
                  <c:v>26.955528276102886</c:v>
                </c:pt>
                <c:pt idx="8">
                  <c:v>26.955528276102886</c:v>
                </c:pt>
                <c:pt idx="9">
                  <c:v>26.955528276102886</c:v>
                </c:pt>
                <c:pt idx="10">
                  <c:v>26.955528276102886</c:v>
                </c:pt>
                <c:pt idx="11">
                  <c:v>26.955528276102886</c:v>
                </c:pt>
                <c:pt idx="12">
                  <c:v>26.955528276102886</c:v>
                </c:pt>
                <c:pt idx="13">
                  <c:v>26.955528276102886</c:v>
                </c:pt>
                <c:pt idx="14">
                  <c:v>26.955528276102886</c:v>
                </c:pt>
                <c:pt idx="15">
                  <c:v>26.955528276102886</c:v>
                </c:pt>
                <c:pt idx="16">
                  <c:v>26.955528276102886</c:v>
                </c:pt>
                <c:pt idx="17">
                  <c:v>26.955528276102886</c:v>
                </c:pt>
                <c:pt idx="18">
                  <c:v>26.955528276102886</c:v>
                </c:pt>
                <c:pt idx="19">
                  <c:v>26.955528276102886</c:v>
                </c:pt>
                <c:pt idx="20">
                  <c:v>26.955528276102886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925-45CE-B54B-AAF21E3D1EE2}"/>
            </c:ext>
          </c:extLst>
        </c:ser>
        <c:ser>
          <c:idx val="5"/>
          <c:order val="4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25-45CE-B54B-AAF21E3D1EE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chart6!$E$16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chart6!$A$17</c:f>
              <c:numCache>
                <c:formatCode>0.0000</c:formatCode>
                <c:ptCount val="1"/>
                <c:pt idx="0">
                  <c:v>26.955330430974278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925-45CE-B54B-AAF21E3D1EE2}"/>
            </c:ext>
          </c:extLst>
        </c:ser>
        <c:ser>
          <c:idx val="6"/>
          <c:order val="5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25-45CE-B54B-AAF21E3D1EE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chart6!$E$20</c:f>
              <c:numCache>
                <c:formatCode>0.00</c:formatCode>
                <c:ptCount val="1"/>
                <c:pt idx="0">
                  <c:v>0.83984555746428668</c:v>
                </c:pt>
              </c:numCache>
            </c:numRef>
          </c:xVal>
          <c:yVal>
            <c:numRef>
              <c:f>chart6!$A$21</c:f>
              <c:numCache>
                <c:formatCode>0.0000</c:formatCode>
                <c:ptCount val="1"/>
                <c:pt idx="0">
                  <c:v>26.955528276102886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925-45CE-B54B-AAF21E3D1EE2}"/>
            </c:ext>
          </c:extLst>
        </c:ser>
        <c:ser>
          <c:idx val="1"/>
          <c:order val="6"/>
          <c:tx>
            <c:v>linearline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chart6!$Z$3:$Z$43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chart6!$AB$3:$AB$43</c:f>
              <c:numCache>
                <c:formatCode>0.0000</c:formatCode>
                <c:ptCount val="41"/>
                <c:pt idx="0">
                  <c:v>26.955726121231489</c:v>
                </c:pt>
                <c:pt idx="1">
                  <c:v>26.955659590923617</c:v>
                </c:pt>
                <c:pt idx="2">
                  <c:v>26.955593060615744</c:v>
                </c:pt>
                <c:pt idx="3">
                  <c:v>26.955526530307871</c:v>
                </c:pt>
                <c:pt idx="4">
                  <c:v>26.955459999999999</c:v>
                </c:pt>
                <c:pt idx="5">
                  <c:v>26.955393469692126</c:v>
                </c:pt>
                <c:pt idx="6">
                  <c:v>26.955326939384253</c:v>
                </c:pt>
                <c:pt idx="7">
                  <c:v>26.955260409076381</c:v>
                </c:pt>
                <c:pt idx="8">
                  <c:v>26.955193878768508</c:v>
                </c:pt>
                <c:pt idx="9">
                  <c:v>26.955127348460636</c:v>
                </c:pt>
                <c:pt idx="10">
                  <c:v>26.955060818152763</c:v>
                </c:pt>
                <c:pt idx="11">
                  <c:v>26.95499428784489</c:v>
                </c:pt>
                <c:pt idx="12">
                  <c:v>26.954927757537018</c:v>
                </c:pt>
                <c:pt idx="13">
                  <c:v>26.954861227229145</c:v>
                </c:pt>
                <c:pt idx="14">
                  <c:v>26.954794696921272</c:v>
                </c:pt>
                <c:pt idx="15">
                  <c:v>26.9547281666134</c:v>
                </c:pt>
                <c:pt idx="16">
                  <c:v>26.954661636305527</c:v>
                </c:pt>
                <c:pt idx="17">
                  <c:v>26.954595105997655</c:v>
                </c:pt>
                <c:pt idx="18">
                  <c:v>26.954528575689782</c:v>
                </c:pt>
                <c:pt idx="19">
                  <c:v>26.954462045381909</c:v>
                </c:pt>
                <c:pt idx="20">
                  <c:v>26.954395515074037</c:v>
                </c:pt>
                <c:pt idx="21">
                  <c:v>26.954328984766164</c:v>
                </c:pt>
                <c:pt idx="22">
                  <c:v>26.954262454458291</c:v>
                </c:pt>
                <c:pt idx="23">
                  <c:v>26.954195924150419</c:v>
                </c:pt>
                <c:pt idx="24">
                  <c:v>26.954129393842546</c:v>
                </c:pt>
                <c:pt idx="25">
                  <c:v>26.954062863534674</c:v>
                </c:pt>
                <c:pt idx="26">
                  <c:v>26.953996333226801</c:v>
                </c:pt>
                <c:pt idx="27">
                  <c:v>26.953929802918928</c:v>
                </c:pt>
                <c:pt idx="28">
                  <c:v>26.953863272611056</c:v>
                </c:pt>
                <c:pt idx="29">
                  <c:v>26.953796742303183</c:v>
                </c:pt>
                <c:pt idx="30">
                  <c:v>26.95373021199531</c:v>
                </c:pt>
                <c:pt idx="31">
                  <c:v>26.953663681687438</c:v>
                </c:pt>
                <c:pt idx="32">
                  <c:v>26.953597151379565</c:v>
                </c:pt>
                <c:pt idx="33">
                  <c:v>26.953530621071693</c:v>
                </c:pt>
                <c:pt idx="34">
                  <c:v>26.95346409076382</c:v>
                </c:pt>
                <c:pt idx="35">
                  <c:v>26.953397560455947</c:v>
                </c:pt>
                <c:pt idx="36">
                  <c:v>26.953331030148075</c:v>
                </c:pt>
                <c:pt idx="37">
                  <c:v>26.953264499840202</c:v>
                </c:pt>
                <c:pt idx="38">
                  <c:v>26.953197969532329</c:v>
                </c:pt>
                <c:pt idx="39">
                  <c:v>26.953131439224457</c:v>
                </c:pt>
                <c:pt idx="40">
                  <c:v>26.953064908916584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1-463F-964B-709302D01054}"/>
            </c:ext>
          </c:extLst>
        </c:ser>
        <c:ser>
          <c:idx val="8"/>
          <c:order val="7"/>
          <c:tx>
            <c:v>linearlinet1.15</c:v>
          </c:tx>
          <c:spPr>
            <a:ln w="15875"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chart6!$AA$3:$AA$43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chart6!$AB$3:$AB$43</c:f>
              <c:numCache>
                <c:formatCode>0.0000</c:formatCode>
                <c:ptCount val="41"/>
                <c:pt idx="0">
                  <c:v>26.955726121231489</c:v>
                </c:pt>
                <c:pt idx="1">
                  <c:v>26.955659590923617</c:v>
                </c:pt>
                <c:pt idx="2">
                  <c:v>26.955593060615744</c:v>
                </c:pt>
                <c:pt idx="3">
                  <c:v>26.955526530307871</c:v>
                </c:pt>
                <c:pt idx="4">
                  <c:v>26.955459999999999</c:v>
                </c:pt>
                <c:pt idx="5">
                  <c:v>26.955393469692126</c:v>
                </c:pt>
                <c:pt idx="6">
                  <c:v>26.955326939384253</c:v>
                </c:pt>
                <c:pt idx="7">
                  <c:v>26.955260409076381</c:v>
                </c:pt>
                <c:pt idx="8">
                  <c:v>26.955193878768508</c:v>
                </c:pt>
                <c:pt idx="9">
                  <c:v>26.955127348460636</c:v>
                </c:pt>
                <c:pt idx="10">
                  <c:v>26.955060818152763</c:v>
                </c:pt>
                <c:pt idx="11">
                  <c:v>26.95499428784489</c:v>
                </c:pt>
                <c:pt idx="12">
                  <c:v>26.954927757537018</c:v>
                </c:pt>
                <c:pt idx="13">
                  <c:v>26.954861227229145</c:v>
                </c:pt>
                <c:pt idx="14">
                  <c:v>26.954794696921272</c:v>
                </c:pt>
                <c:pt idx="15">
                  <c:v>26.9547281666134</c:v>
                </c:pt>
                <c:pt idx="16">
                  <c:v>26.954661636305527</c:v>
                </c:pt>
                <c:pt idx="17">
                  <c:v>26.954595105997655</c:v>
                </c:pt>
                <c:pt idx="18">
                  <c:v>26.954528575689782</c:v>
                </c:pt>
                <c:pt idx="19">
                  <c:v>26.954462045381909</c:v>
                </c:pt>
                <c:pt idx="20">
                  <c:v>26.954395515074037</c:v>
                </c:pt>
                <c:pt idx="21">
                  <c:v>26.954328984766164</c:v>
                </c:pt>
                <c:pt idx="22">
                  <c:v>26.954262454458291</c:v>
                </c:pt>
                <c:pt idx="23">
                  <c:v>26.954195924150419</c:v>
                </c:pt>
                <c:pt idx="24">
                  <c:v>26.954129393842546</c:v>
                </c:pt>
                <c:pt idx="25">
                  <c:v>26.954062863534674</c:v>
                </c:pt>
                <c:pt idx="26">
                  <c:v>26.953996333226801</c:v>
                </c:pt>
                <c:pt idx="27">
                  <c:v>26.953929802918928</c:v>
                </c:pt>
                <c:pt idx="28">
                  <c:v>26.953863272611056</c:v>
                </c:pt>
                <c:pt idx="29">
                  <c:v>26.953796742303183</c:v>
                </c:pt>
                <c:pt idx="30">
                  <c:v>26.95373021199531</c:v>
                </c:pt>
                <c:pt idx="31">
                  <c:v>26.953663681687438</c:v>
                </c:pt>
                <c:pt idx="32">
                  <c:v>26.953597151379565</c:v>
                </c:pt>
                <c:pt idx="33">
                  <c:v>26.953530621071693</c:v>
                </c:pt>
                <c:pt idx="34">
                  <c:v>26.95346409076382</c:v>
                </c:pt>
                <c:pt idx="35">
                  <c:v>26.953397560455947</c:v>
                </c:pt>
                <c:pt idx="36">
                  <c:v>26.953331030148075</c:v>
                </c:pt>
                <c:pt idx="37">
                  <c:v>26.953264499840202</c:v>
                </c:pt>
                <c:pt idx="38">
                  <c:v>26.953197969532329</c:v>
                </c:pt>
                <c:pt idx="39">
                  <c:v>26.953131439224457</c:v>
                </c:pt>
                <c:pt idx="40">
                  <c:v>26.953064908916584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D1-463F-964B-709302D01054}"/>
            </c:ext>
          </c:extLst>
        </c:ser>
        <c:ser>
          <c:idx val="7"/>
          <c:order val="8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data!$AH$10:$AH$16</c:f>
              <c:numCache>
                <c:formatCode>0.00</c:formatCode>
                <c:ptCount val="7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</c:numCache>
            </c:numRef>
          </c:xVal>
          <c:yVal>
            <c:numRef>
              <c:f>data!$AK$10:$AK$16</c:f>
              <c:numCache>
                <c:formatCode>0.0000</c:formatCode>
                <c:ptCount val="7"/>
                <c:pt idx="0">
                  <c:v>26.955760000000001</c:v>
                </c:pt>
                <c:pt idx="1">
                  <c:v>26.95571</c:v>
                </c:pt>
                <c:pt idx="2">
                  <c:v>26.955660000000002</c:v>
                </c:pt>
                <c:pt idx="3">
                  <c:v>26.955559999999998</c:v>
                </c:pt>
                <c:pt idx="4">
                  <c:v>26.955490000000001</c:v>
                </c:pt>
                <c:pt idx="5">
                  <c:v>26.955469999999998</c:v>
                </c:pt>
                <c:pt idx="6">
                  <c:v>26.955459999999999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6D-4B47-B3D4-F8257EC0E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0.954451150103322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55760000000001"/>
          <c:min val="26.95534999999999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data!$AN$10:$AN$28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4.1231056256176606</c:v>
                </c:pt>
                <c:pt idx="9">
                  <c:v>5.4772255750516612</c:v>
                </c:pt>
                <c:pt idx="10">
                  <c:v>10.392304845413264</c:v>
                </c:pt>
                <c:pt idx="11">
                  <c:v>30.773365106858236</c:v>
                </c:pt>
              </c:numCache>
            </c:numRef>
          </c:xVal>
          <c:yVal>
            <c:numRef>
              <c:f>data!$AQ$10:$AQ$28</c:f>
              <c:numCache>
                <c:formatCode>0.0000</c:formatCode>
                <c:ptCount val="19"/>
                <c:pt idx="0">
                  <c:v>26.955349999999999</c:v>
                </c:pt>
                <c:pt idx="1">
                  <c:v>26.955249999999999</c:v>
                </c:pt>
                <c:pt idx="2">
                  <c:v>26.95514</c:v>
                </c:pt>
                <c:pt idx="3">
                  <c:v>26.95505</c:v>
                </c:pt>
                <c:pt idx="4">
                  <c:v>26.954350000000002</c:v>
                </c:pt>
                <c:pt idx="5">
                  <c:v>26.95345</c:v>
                </c:pt>
                <c:pt idx="6">
                  <c:v>26.952649999999998</c:v>
                </c:pt>
                <c:pt idx="7">
                  <c:v>26.951899999999998</c:v>
                </c:pt>
                <c:pt idx="8">
                  <c:v>26.951450000000001</c:v>
                </c:pt>
                <c:pt idx="9">
                  <c:v>26.9512</c:v>
                </c:pt>
                <c:pt idx="10">
                  <c:v>26.950949999999999</c:v>
                </c:pt>
                <c:pt idx="11">
                  <c:v>26.95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EB-4D8B-AB56-8D9333BC4AEF}"/>
            </c:ext>
          </c:extLst>
        </c:ser>
        <c:ser>
          <c:idx val="2"/>
          <c:order val="1"/>
          <c:tx>
            <c:v>point90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EB-4D8B-AB56-8D9333BC4A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chart7!$A$10</c:f>
              <c:numCache>
                <c:formatCode>0.00</c:formatCode>
                <c:ptCount val="1"/>
                <c:pt idx="0">
                  <c:v>3.3284271247461903</c:v>
                </c:pt>
              </c:numCache>
            </c:numRef>
          </c:xVal>
          <c:yVal>
            <c:numRef>
              <c:f>chart7!$B$10</c:f>
              <c:numCache>
                <c:formatCode>0.0000</c:formatCode>
                <c:ptCount val="1"/>
                <c:pt idx="0">
                  <c:v>26.951599999999999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EB-4D8B-AB56-8D9333BC4AEF}"/>
            </c:ext>
          </c:extLst>
        </c:ser>
        <c:ser>
          <c:idx val="3"/>
          <c:order val="2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chart7!$AC$21:$AC$41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chart7!$AD$21:$AD$41</c:f>
              <c:numCache>
                <c:formatCode>0.00</c:formatCode>
                <c:ptCount val="21"/>
                <c:pt idx="0">
                  <c:v>26.951149656661741</c:v>
                </c:pt>
                <c:pt idx="1">
                  <c:v>26.951149656661741</c:v>
                </c:pt>
                <c:pt idx="2">
                  <c:v>26.951149656661741</c:v>
                </c:pt>
                <c:pt idx="3">
                  <c:v>26.951149656661741</c:v>
                </c:pt>
                <c:pt idx="4">
                  <c:v>26.951149656661741</c:v>
                </c:pt>
                <c:pt idx="5">
                  <c:v>26.951149656661741</c:v>
                </c:pt>
                <c:pt idx="6">
                  <c:v>26.951149656661741</c:v>
                </c:pt>
                <c:pt idx="7">
                  <c:v>26.951149656661741</c:v>
                </c:pt>
                <c:pt idx="8">
                  <c:v>26.951149656661741</c:v>
                </c:pt>
                <c:pt idx="9">
                  <c:v>26.951149656661741</c:v>
                </c:pt>
                <c:pt idx="10">
                  <c:v>26.951149656661741</c:v>
                </c:pt>
                <c:pt idx="11">
                  <c:v>26.951149656661741</c:v>
                </c:pt>
                <c:pt idx="12">
                  <c:v>26.951149656661741</c:v>
                </c:pt>
                <c:pt idx="13">
                  <c:v>26.951149656661741</c:v>
                </c:pt>
                <c:pt idx="14">
                  <c:v>26.951149656661741</c:v>
                </c:pt>
                <c:pt idx="15">
                  <c:v>26.951149656661741</c:v>
                </c:pt>
                <c:pt idx="16">
                  <c:v>26.951149656661741</c:v>
                </c:pt>
                <c:pt idx="17">
                  <c:v>26.951149656661741</c:v>
                </c:pt>
                <c:pt idx="18">
                  <c:v>26.951149656661741</c:v>
                </c:pt>
                <c:pt idx="19">
                  <c:v>26.951149656661741</c:v>
                </c:pt>
                <c:pt idx="20">
                  <c:v>26.951149656661741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EB-4D8B-AB56-8D9333BC4AEF}"/>
            </c:ext>
          </c:extLst>
        </c:ser>
        <c:ser>
          <c:idx val="4"/>
          <c:order val="3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chart7!$AC$21:$AC$41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chart7!$AE$21:$AE$41</c:f>
              <c:numCache>
                <c:formatCode>0.00</c:formatCode>
                <c:ptCount val="21"/>
                <c:pt idx="0">
                  <c:v>26.953401373353028</c:v>
                </c:pt>
                <c:pt idx="1">
                  <c:v>26.953401373353028</c:v>
                </c:pt>
                <c:pt idx="2">
                  <c:v>26.953401373353028</c:v>
                </c:pt>
                <c:pt idx="3">
                  <c:v>26.953401373353028</c:v>
                </c:pt>
                <c:pt idx="4">
                  <c:v>26.953401373353028</c:v>
                </c:pt>
                <c:pt idx="5">
                  <c:v>26.953401373353028</c:v>
                </c:pt>
                <c:pt idx="6">
                  <c:v>26.953401373353028</c:v>
                </c:pt>
                <c:pt idx="7">
                  <c:v>26.953401373353028</c:v>
                </c:pt>
                <c:pt idx="8">
                  <c:v>26.953401373353028</c:v>
                </c:pt>
                <c:pt idx="9">
                  <c:v>26.953401373353028</c:v>
                </c:pt>
                <c:pt idx="10">
                  <c:v>26.953401373353028</c:v>
                </c:pt>
                <c:pt idx="11">
                  <c:v>26.953401373353028</c:v>
                </c:pt>
                <c:pt idx="12">
                  <c:v>26.953401373353028</c:v>
                </c:pt>
                <c:pt idx="13">
                  <c:v>26.953401373353028</c:v>
                </c:pt>
                <c:pt idx="14">
                  <c:v>26.953401373353028</c:v>
                </c:pt>
                <c:pt idx="15">
                  <c:v>26.953401373353028</c:v>
                </c:pt>
                <c:pt idx="16">
                  <c:v>26.953401373353028</c:v>
                </c:pt>
                <c:pt idx="17">
                  <c:v>26.953401373353028</c:v>
                </c:pt>
                <c:pt idx="18">
                  <c:v>26.953401373353028</c:v>
                </c:pt>
                <c:pt idx="19">
                  <c:v>26.953401373353028</c:v>
                </c:pt>
                <c:pt idx="20">
                  <c:v>26.953401373353028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1EB-4D8B-AB56-8D9333BC4AEF}"/>
            </c:ext>
          </c:extLst>
        </c:ser>
        <c:ser>
          <c:idx val="5"/>
          <c:order val="4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EB-4D8B-AB56-8D9333BC4A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chart7!$E$16</c:f>
              <c:numCache>
                <c:formatCode>0.00</c:formatCode>
                <c:ptCount val="1"/>
                <c:pt idx="0">
                  <c:v>6.466991568217054</c:v>
                </c:pt>
              </c:numCache>
            </c:numRef>
          </c:xVal>
          <c:yVal>
            <c:numRef>
              <c:f>chart7!$A$17</c:f>
              <c:numCache>
                <c:formatCode>0.0000</c:formatCode>
                <c:ptCount val="1"/>
                <c:pt idx="0">
                  <c:v>26.951149656661741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1EB-4D8B-AB56-8D9333BC4AEF}"/>
            </c:ext>
          </c:extLst>
        </c:ser>
        <c:ser>
          <c:idx val="6"/>
          <c:order val="5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EB-4D8B-AB56-8D9333BC4A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chart7!$E$20</c:f>
              <c:numCache>
                <c:formatCode>0.00</c:formatCode>
                <c:ptCount val="1"/>
                <c:pt idx="0">
                  <c:v>1.4498196002496115</c:v>
                </c:pt>
              </c:numCache>
            </c:numRef>
          </c:xVal>
          <c:yVal>
            <c:numRef>
              <c:f>chart7!$A$21</c:f>
              <c:numCache>
                <c:formatCode>0.0000</c:formatCode>
                <c:ptCount val="1"/>
                <c:pt idx="0">
                  <c:v>26.953401373353028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1EB-4D8B-AB56-8D9333BC4AEF}"/>
            </c:ext>
          </c:extLst>
        </c:ser>
        <c:ser>
          <c:idx val="1"/>
          <c:order val="6"/>
          <c:tx>
            <c:v>linearline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chart7!$Z$3:$Z$43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chart7!$AB$3:$AB$43</c:f>
              <c:numCache>
                <c:formatCode>0.0000</c:formatCode>
                <c:ptCount val="41"/>
                <c:pt idx="0">
                  <c:v>26.955653090044315</c:v>
                </c:pt>
                <c:pt idx="1">
                  <c:v>26.954989631189129</c:v>
                </c:pt>
                <c:pt idx="2">
                  <c:v>26.954326172333946</c:v>
                </c:pt>
                <c:pt idx="3">
                  <c:v>26.95366271347876</c:v>
                </c:pt>
                <c:pt idx="4">
                  <c:v>26.952999254623574</c:v>
                </c:pt>
                <c:pt idx="5">
                  <c:v>26.952335795768391</c:v>
                </c:pt>
                <c:pt idx="6">
                  <c:v>26.951672336913205</c:v>
                </c:pt>
                <c:pt idx="7">
                  <c:v>26.951008878058019</c:v>
                </c:pt>
                <c:pt idx="8">
                  <c:v>26.950345419202836</c:v>
                </c:pt>
                <c:pt idx="9">
                  <c:v>26.94968196034765</c:v>
                </c:pt>
                <c:pt idx="10">
                  <c:v>26.949018501492464</c:v>
                </c:pt>
                <c:pt idx="11">
                  <c:v>26.948355042637282</c:v>
                </c:pt>
                <c:pt idx="12">
                  <c:v>26.947691583782095</c:v>
                </c:pt>
                <c:pt idx="13">
                  <c:v>26.947028124926909</c:v>
                </c:pt>
                <c:pt idx="14">
                  <c:v>26.946364666071727</c:v>
                </c:pt>
                <c:pt idx="15">
                  <c:v>26.94570120721654</c:v>
                </c:pt>
                <c:pt idx="16">
                  <c:v>26.945037748361354</c:v>
                </c:pt>
                <c:pt idx="17">
                  <c:v>26.944374289506172</c:v>
                </c:pt>
                <c:pt idx="18">
                  <c:v>26.943710830650986</c:v>
                </c:pt>
                <c:pt idx="19">
                  <c:v>26.943047371795799</c:v>
                </c:pt>
                <c:pt idx="20">
                  <c:v>26.942383912940617</c:v>
                </c:pt>
                <c:pt idx="21">
                  <c:v>26.941720454085431</c:v>
                </c:pt>
                <c:pt idx="22">
                  <c:v>26.941056995230245</c:v>
                </c:pt>
                <c:pt idx="23">
                  <c:v>26.940393536375062</c:v>
                </c:pt>
                <c:pt idx="24">
                  <c:v>26.939730077519876</c:v>
                </c:pt>
                <c:pt idx="25">
                  <c:v>26.93906661866469</c:v>
                </c:pt>
                <c:pt idx="26">
                  <c:v>26.938403159809504</c:v>
                </c:pt>
                <c:pt idx="27">
                  <c:v>26.937739700954321</c:v>
                </c:pt>
                <c:pt idx="28">
                  <c:v>26.937076242099135</c:v>
                </c:pt>
                <c:pt idx="29">
                  <c:v>26.936412783243949</c:v>
                </c:pt>
                <c:pt idx="30">
                  <c:v>26.935749324388766</c:v>
                </c:pt>
                <c:pt idx="31">
                  <c:v>26.93508586553358</c:v>
                </c:pt>
                <c:pt idx="32">
                  <c:v>26.934422406678394</c:v>
                </c:pt>
                <c:pt idx="33">
                  <c:v>26.933758947823211</c:v>
                </c:pt>
                <c:pt idx="34">
                  <c:v>26.933095488968025</c:v>
                </c:pt>
                <c:pt idx="35">
                  <c:v>26.932432030112839</c:v>
                </c:pt>
                <c:pt idx="36">
                  <c:v>26.931768571257656</c:v>
                </c:pt>
                <c:pt idx="37">
                  <c:v>26.93110511240247</c:v>
                </c:pt>
                <c:pt idx="38">
                  <c:v>26.930441653547284</c:v>
                </c:pt>
                <c:pt idx="39">
                  <c:v>26.929778194692101</c:v>
                </c:pt>
                <c:pt idx="40">
                  <c:v>26.929114735836915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BE-41C4-976B-D589730B1CE0}"/>
            </c:ext>
          </c:extLst>
        </c:ser>
        <c:ser>
          <c:idx val="8"/>
          <c:order val="7"/>
          <c:spPr>
            <a:ln w="15875"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chart7!$AA$3:$AA$43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chart7!$AB$3:$AB$43</c:f>
              <c:numCache>
                <c:formatCode>0.0000</c:formatCode>
                <c:ptCount val="41"/>
                <c:pt idx="0">
                  <c:v>26.955653090044315</c:v>
                </c:pt>
                <c:pt idx="1">
                  <c:v>26.954989631189129</c:v>
                </c:pt>
                <c:pt idx="2">
                  <c:v>26.954326172333946</c:v>
                </c:pt>
                <c:pt idx="3">
                  <c:v>26.95366271347876</c:v>
                </c:pt>
                <c:pt idx="4">
                  <c:v>26.952999254623574</c:v>
                </c:pt>
                <c:pt idx="5">
                  <c:v>26.952335795768391</c:v>
                </c:pt>
                <c:pt idx="6">
                  <c:v>26.951672336913205</c:v>
                </c:pt>
                <c:pt idx="7">
                  <c:v>26.951008878058019</c:v>
                </c:pt>
                <c:pt idx="8">
                  <c:v>26.950345419202836</c:v>
                </c:pt>
                <c:pt idx="9">
                  <c:v>26.94968196034765</c:v>
                </c:pt>
                <c:pt idx="10">
                  <c:v>26.949018501492464</c:v>
                </c:pt>
                <c:pt idx="11">
                  <c:v>26.948355042637282</c:v>
                </c:pt>
                <c:pt idx="12">
                  <c:v>26.947691583782095</c:v>
                </c:pt>
                <c:pt idx="13">
                  <c:v>26.947028124926909</c:v>
                </c:pt>
                <c:pt idx="14">
                  <c:v>26.946364666071727</c:v>
                </c:pt>
                <c:pt idx="15">
                  <c:v>26.94570120721654</c:v>
                </c:pt>
                <c:pt idx="16">
                  <c:v>26.945037748361354</c:v>
                </c:pt>
                <c:pt idx="17">
                  <c:v>26.944374289506172</c:v>
                </c:pt>
                <c:pt idx="18">
                  <c:v>26.943710830650986</c:v>
                </c:pt>
                <c:pt idx="19">
                  <c:v>26.943047371795799</c:v>
                </c:pt>
                <c:pt idx="20">
                  <c:v>26.942383912940617</c:v>
                </c:pt>
                <c:pt idx="21">
                  <c:v>26.941720454085431</c:v>
                </c:pt>
                <c:pt idx="22">
                  <c:v>26.941056995230245</c:v>
                </c:pt>
                <c:pt idx="23">
                  <c:v>26.940393536375062</c:v>
                </c:pt>
                <c:pt idx="24">
                  <c:v>26.939730077519876</c:v>
                </c:pt>
                <c:pt idx="25">
                  <c:v>26.93906661866469</c:v>
                </c:pt>
                <c:pt idx="26">
                  <c:v>26.938403159809504</c:v>
                </c:pt>
                <c:pt idx="27">
                  <c:v>26.937739700954321</c:v>
                </c:pt>
                <c:pt idx="28">
                  <c:v>26.937076242099135</c:v>
                </c:pt>
                <c:pt idx="29">
                  <c:v>26.936412783243949</c:v>
                </c:pt>
                <c:pt idx="30">
                  <c:v>26.935749324388766</c:v>
                </c:pt>
                <c:pt idx="31">
                  <c:v>26.93508586553358</c:v>
                </c:pt>
                <c:pt idx="32">
                  <c:v>26.934422406678394</c:v>
                </c:pt>
                <c:pt idx="33">
                  <c:v>26.933758947823211</c:v>
                </c:pt>
                <c:pt idx="34">
                  <c:v>26.933095488968025</c:v>
                </c:pt>
                <c:pt idx="35">
                  <c:v>26.932432030112839</c:v>
                </c:pt>
                <c:pt idx="36">
                  <c:v>26.931768571257656</c:v>
                </c:pt>
                <c:pt idx="37">
                  <c:v>26.93110511240247</c:v>
                </c:pt>
                <c:pt idx="38">
                  <c:v>26.930441653547284</c:v>
                </c:pt>
                <c:pt idx="39">
                  <c:v>26.929778194692101</c:v>
                </c:pt>
                <c:pt idx="40">
                  <c:v>26.929114735836915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BE-41C4-976B-D589730B1CE0}"/>
            </c:ext>
          </c:extLst>
        </c:ser>
        <c:ser>
          <c:idx val="7"/>
          <c:order val="8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data!$AN$10:$AN$17</c:f>
              <c:numCache>
                <c:formatCode>0.00</c:formatCode>
                <c:ptCount val="8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</c:numCache>
            </c:numRef>
          </c:xVal>
          <c:yVal>
            <c:numRef>
              <c:f>data!$AQ$10:$AQ$17</c:f>
              <c:numCache>
                <c:formatCode>0.0000</c:formatCode>
                <c:ptCount val="8"/>
                <c:pt idx="0">
                  <c:v>26.955349999999999</c:v>
                </c:pt>
                <c:pt idx="1">
                  <c:v>26.955249999999999</c:v>
                </c:pt>
                <c:pt idx="2">
                  <c:v>26.95514</c:v>
                </c:pt>
                <c:pt idx="3">
                  <c:v>26.95505</c:v>
                </c:pt>
                <c:pt idx="4">
                  <c:v>26.954350000000002</c:v>
                </c:pt>
                <c:pt idx="5">
                  <c:v>26.95345</c:v>
                </c:pt>
                <c:pt idx="6">
                  <c:v>26.952649999999998</c:v>
                </c:pt>
                <c:pt idx="7">
                  <c:v>26.951899999999998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9E-4C6C-A6BD-255E9ACE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30.77336510685823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55349999999999"/>
          <c:min val="26.9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data!$AT$10:$AT$28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  <c:pt idx="11">
                  <c:v>11.269427669584644</c:v>
                </c:pt>
                <c:pt idx="12">
                  <c:v>14.317821063276353</c:v>
                </c:pt>
                <c:pt idx="13">
                  <c:v>15.0996688705415</c:v>
                </c:pt>
              </c:numCache>
            </c:numRef>
          </c:xVal>
          <c:yVal>
            <c:numRef>
              <c:f>data!$AW$10:$AW$28</c:f>
              <c:numCache>
                <c:formatCode>0.0000</c:formatCode>
                <c:ptCount val="19"/>
                <c:pt idx="0">
                  <c:v>26.95</c:v>
                </c:pt>
                <c:pt idx="1">
                  <c:v>26.949000000000002</c:v>
                </c:pt>
                <c:pt idx="2">
                  <c:v>26.9482</c:v>
                </c:pt>
                <c:pt idx="3">
                  <c:v>26.947199999999999</c:v>
                </c:pt>
                <c:pt idx="4">
                  <c:v>26.945799999999998</c:v>
                </c:pt>
                <c:pt idx="5">
                  <c:v>26.943850000000001</c:v>
                </c:pt>
                <c:pt idx="6">
                  <c:v>26.942</c:v>
                </c:pt>
                <c:pt idx="7">
                  <c:v>26.939599999999999</c:v>
                </c:pt>
                <c:pt idx="8">
                  <c:v>26.93805</c:v>
                </c:pt>
                <c:pt idx="9">
                  <c:v>26.936820000000001</c:v>
                </c:pt>
                <c:pt idx="10">
                  <c:v>26.936</c:v>
                </c:pt>
                <c:pt idx="11">
                  <c:v>26.9358</c:v>
                </c:pt>
                <c:pt idx="12">
                  <c:v>26.934899999999999</c:v>
                </c:pt>
                <c:pt idx="13">
                  <c:v>26.934799999999999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75-4D71-8C60-4041B635B805}"/>
            </c:ext>
          </c:extLst>
        </c:ser>
        <c:ser>
          <c:idx val="2"/>
          <c:order val="1"/>
          <c:tx>
            <c:v>point90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75-4D71-8C60-4041B635B80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chart8!$A$10</c:f>
              <c:numCache>
                <c:formatCode>0.00</c:formatCode>
                <c:ptCount val="1"/>
                <c:pt idx="0">
                  <c:v>4.0284271247461909</c:v>
                </c:pt>
              </c:numCache>
            </c:numRef>
          </c:xVal>
          <c:yVal>
            <c:numRef>
              <c:f>chart8!$B$10</c:f>
              <c:numCache>
                <c:formatCode>0.0000</c:formatCode>
                <c:ptCount val="1"/>
                <c:pt idx="0">
                  <c:v>26.937720000000002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75-4D71-8C60-4041B635B805}"/>
            </c:ext>
          </c:extLst>
        </c:ser>
        <c:ser>
          <c:idx val="3"/>
          <c:order val="2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chart8!$AC$21:$AC$41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chart8!$AD$21:$AD$41</c:f>
              <c:numCache>
                <c:formatCode>0.00</c:formatCode>
                <c:ptCount val="21"/>
                <c:pt idx="0">
                  <c:v>26.936367253305026</c:v>
                </c:pt>
                <c:pt idx="1">
                  <c:v>26.936367253305026</c:v>
                </c:pt>
                <c:pt idx="2">
                  <c:v>26.936367253305026</c:v>
                </c:pt>
                <c:pt idx="3">
                  <c:v>26.936367253305026</c:v>
                </c:pt>
                <c:pt idx="4">
                  <c:v>26.936367253305026</c:v>
                </c:pt>
                <c:pt idx="5">
                  <c:v>26.936367253305026</c:v>
                </c:pt>
                <c:pt idx="6">
                  <c:v>26.936367253305026</c:v>
                </c:pt>
                <c:pt idx="7">
                  <c:v>26.936367253305026</c:v>
                </c:pt>
                <c:pt idx="8">
                  <c:v>26.936367253305026</c:v>
                </c:pt>
                <c:pt idx="9">
                  <c:v>26.936367253305026</c:v>
                </c:pt>
                <c:pt idx="10">
                  <c:v>26.936367253305026</c:v>
                </c:pt>
                <c:pt idx="11">
                  <c:v>26.936367253305026</c:v>
                </c:pt>
                <c:pt idx="12">
                  <c:v>26.936367253305026</c:v>
                </c:pt>
                <c:pt idx="13">
                  <c:v>26.936367253305026</c:v>
                </c:pt>
                <c:pt idx="14">
                  <c:v>26.936367253305026</c:v>
                </c:pt>
                <c:pt idx="15">
                  <c:v>26.936367253305026</c:v>
                </c:pt>
                <c:pt idx="16">
                  <c:v>26.936367253305026</c:v>
                </c:pt>
                <c:pt idx="17">
                  <c:v>26.936367253305026</c:v>
                </c:pt>
                <c:pt idx="18">
                  <c:v>26.936367253305026</c:v>
                </c:pt>
                <c:pt idx="19">
                  <c:v>26.936367253305026</c:v>
                </c:pt>
                <c:pt idx="20">
                  <c:v>26.936367253305026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75-4D71-8C60-4041B635B805}"/>
            </c:ext>
          </c:extLst>
        </c:ser>
        <c:ser>
          <c:idx val="4"/>
          <c:order val="3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chart8!$AC$21:$AC$41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chart8!$AE$21:$AE$41</c:f>
              <c:numCache>
                <c:formatCode>0.00</c:formatCode>
                <c:ptCount val="21"/>
                <c:pt idx="0">
                  <c:v>26.943130986779906</c:v>
                </c:pt>
                <c:pt idx="1">
                  <c:v>26.943130986779906</c:v>
                </c:pt>
                <c:pt idx="2">
                  <c:v>26.943130986779906</c:v>
                </c:pt>
                <c:pt idx="3">
                  <c:v>26.943130986779906</c:v>
                </c:pt>
                <c:pt idx="4">
                  <c:v>26.943130986779906</c:v>
                </c:pt>
                <c:pt idx="5">
                  <c:v>26.943130986779906</c:v>
                </c:pt>
                <c:pt idx="6">
                  <c:v>26.943130986779906</c:v>
                </c:pt>
                <c:pt idx="7">
                  <c:v>26.943130986779906</c:v>
                </c:pt>
                <c:pt idx="8">
                  <c:v>26.943130986779906</c:v>
                </c:pt>
                <c:pt idx="9">
                  <c:v>26.943130986779906</c:v>
                </c:pt>
                <c:pt idx="10">
                  <c:v>26.943130986779906</c:v>
                </c:pt>
                <c:pt idx="11">
                  <c:v>26.943130986779906</c:v>
                </c:pt>
                <c:pt idx="12">
                  <c:v>26.943130986779906</c:v>
                </c:pt>
                <c:pt idx="13">
                  <c:v>26.943130986779906</c:v>
                </c:pt>
                <c:pt idx="14">
                  <c:v>26.943130986779906</c:v>
                </c:pt>
                <c:pt idx="15">
                  <c:v>26.943130986779906</c:v>
                </c:pt>
                <c:pt idx="16">
                  <c:v>26.943130986779906</c:v>
                </c:pt>
                <c:pt idx="17">
                  <c:v>26.943130986779906</c:v>
                </c:pt>
                <c:pt idx="18">
                  <c:v>26.943130986779906</c:v>
                </c:pt>
                <c:pt idx="19">
                  <c:v>26.943130986779906</c:v>
                </c:pt>
                <c:pt idx="20">
                  <c:v>26.943130986779906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75-4D71-8C60-4041B635B805}"/>
            </c:ext>
          </c:extLst>
        </c:ser>
        <c:ser>
          <c:idx val="5"/>
          <c:order val="4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75-4D71-8C60-4041B635B80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chart8!$E$16</c:f>
              <c:numCache>
                <c:formatCode>0.00</c:formatCode>
                <c:ptCount val="1"/>
                <c:pt idx="0">
                  <c:v>6.7298658709623851</c:v>
                </c:pt>
              </c:numCache>
            </c:numRef>
          </c:xVal>
          <c:yVal>
            <c:numRef>
              <c:f>chart8!$A$17</c:f>
              <c:numCache>
                <c:formatCode>0.0000</c:formatCode>
                <c:ptCount val="1"/>
                <c:pt idx="0">
                  <c:v>26.936367253305026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75-4D71-8C60-4041B635B805}"/>
            </c:ext>
          </c:extLst>
        </c:ser>
        <c:ser>
          <c:idx val="6"/>
          <c:order val="5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75-4D71-8C60-4041B635B80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chart8!$E$20</c:f>
              <c:numCache>
                <c:formatCode>0.00</c:formatCode>
                <c:ptCount val="1"/>
                <c:pt idx="0">
                  <c:v>1.6418828557816596</c:v>
                </c:pt>
              </c:numCache>
            </c:numRef>
          </c:xVal>
          <c:yVal>
            <c:numRef>
              <c:f>chart8!$A$21</c:f>
              <c:numCache>
                <c:formatCode>0.0000</c:formatCode>
                <c:ptCount val="1"/>
                <c:pt idx="0">
                  <c:v>26.943130986779906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75-4D71-8C60-4041B635B805}"/>
            </c:ext>
          </c:extLst>
        </c:ser>
        <c:ser>
          <c:idx val="1"/>
          <c:order val="6"/>
          <c:tx>
            <c:v>linearline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chart8!$Z$3:$Z$43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chart8!$AB$3:$AB$43</c:f>
              <c:numCache>
                <c:formatCode>0.0000</c:formatCode>
                <c:ptCount val="41"/>
                <c:pt idx="0">
                  <c:v>26.949894720254786</c:v>
                </c:pt>
                <c:pt idx="1">
                  <c:v>26.948074853629141</c:v>
                </c:pt>
                <c:pt idx="2">
                  <c:v>26.946254987003496</c:v>
                </c:pt>
                <c:pt idx="3">
                  <c:v>26.944435120377854</c:v>
                </c:pt>
                <c:pt idx="4">
                  <c:v>26.942615253752209</c:v>
                </c:pt>
                <c:pt idx="5">
                  <c:v>26.940795387126563</c:v>
                </c:pt>
                <c:pt idx="6">
                  <c:v>26.938975520500918</c:v>
                </c:pt>
                <c:pt idx="7">
                  <c:v>26.937155653875273</c:v>
                </c:pt>
                <c:pt idx="8">
                  <c:v>26.935335787249628</c:v>
                </c:pt>
                <c:pt idx="9">
                  <c:v>26.933515920623986</c:v>
                </c:pt>
                <c:pt idx="10">
                  <c:v>26.931696053998341</c:v>
                </c:pt>
                <c:pt idx="11">
                  <c:v>26.929876187372695</c:v>
                </c:pt>
                <c:pt idx="12">
                  <c:v>26.92805632074705</c:v>
                </c:pt>
                <c:pt idx="13">
                  <c:v>26.926236454121405</c:v>
                </c:pt>
                <c:pt idx="14">
                  <c:v>26.92441658749576</c:v>
                </c:pt>
                <c:pt idx="15">
                  <c:v>26.922596720870118</c:v>
                </c:pt>
                <c:pt idx="16">
                  <c:v>26.920776854244473</c:v>
                </c:pt>
                <c:pt idx="17">
                  <c:v>26.918956987618827</c:v>
                </c:pt>
                <c:pt idx="18">
                  <c:v>26.917137120993182</c:v>
                </c:pt>
                <c:pt idx="19">
                  <c:v>26.915317254367537</c:v>
                </c:pt>
                <c:pt idx="20">
                  <c:v>26.913497387741891</c:v>
                </c:pt>
                <c:pt idx="21">
                  <c:v>26.91167752111625</c:v>
                </c:pt>
                <c:pt idx="22">
                  <c:v>26.909857654490605</c:v>
                </c:pt>
                <c:pt idx="23">
                  <c:v>26.908037787864959</c:v>
                </c:pt>
                <c:pt idx="24">
                  <c:v>26.906217921239314</c:v>
                </c:pt>
                <c:pt idx="25">
                  <c:v>26.904398054613669</c:v>
                </c:pt>
                <c:pt idx="26">
                  <c:v>26.902578187988023</c:v>
                </c:pt>
                <c:pt idx="27">
                  <c:v>26.900758321362382</c:v>
                </c:pt>
                <c:pt idx="28">
                  <c:v>26.898938454736737</c:v>
                </c:pt>
                <c:pt idx="29">
                  <c:v>26.897118588111091</c:v>
                </c:pt>
                <c:pt idx="30">
                  <c:v>26.895298721485446</c:v>
                </c:pt>
                <c:pt idx="31">
                  <c:v>26.893478854859801</c:v>
                </c:pt>
                <c:pt idx="32">
                  <c:v>26.891658988234155</c:v>
                </c:pt>
                <c:pt idx="33">
                  <c:v>26.889839121608514</c:v>
                </c:pt>
                <c:pt idx="34">
                  <c:v>26.888019254982868</c:v>
                </c:pt>
                <c:pt idx="35">
                  <c:v>26.886199388357223</c:v>
                </c:pt>
                <c:pt idx="36">
                  <c:v>26.884379521731578</c:v>
                </c:pt>
                <c:pt idx="37">
                  <c:v>26.882559655105933</c:v>
                </c:pt>
                <c:pt idx="38">
                  <c:v>26.880739788480287</c:v>
                </c:pt>
                <c:pt idx="39">
                  <c:v>26.878919921854646</c:v>
                </c:pt>
                <c:pt idx="40">
                  <c:v>26.877100055229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EF-4654-9C30-DB0BBCAF75A0}"/>
            </c:ext>
          </c:extLst>
        </c:ser>
        <c:ser>
          <c:idx val="8"/>
          <c:order val="7"/>
          <c:tx>
            <c:v>linearline1.15t</c:v>
          </c:tx>
          <c:spPr>
            <a:ln w="15875"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chart8!$AA$3:$AA$43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chart8!$AB$3:$AB$43</c:f>
              <c:numCache>
                <c:formatCode>0.0000</c:formatCode>
                <c:ptCount val="41"/>
                <c:pt idx="0">
                  <c:v>26.949894720254786</c:v>
                </c:pt>
                <c:pt idx="1">
                  <c:v>26.948074853629141</c:v>
                </c:pt>
                <c:pt idx="2">
                  <c:v>26.946254987003496</c:v>
                </c:pt>
                <c:pt idx="3">
                  <c:v>26.944435120377854</c:v>
                </c:pt>
                <c:pt idx="4">
                  <c:v>26.942615253752209</c:v>
                </c:pt>
                <c:pt idx="5">
                  <c:v>26.940795387126563</c:v>
                </c:pt>
                <c:pt idx="6">
                  <c:v>26.938975520500918</c:v>
                </c:pt>
                <c:pt idx="7">
                  <c:v>26.937155653875273</c:v>
                </c:pt>
                <c:pt idx="8">
                  <c:v>26.935335787249628</c:v>
                </c:pt>
                <c:pt idx="9">
                  <c:v>26.933515920623986</c:v>
                </c:pt>
                <c:pt idx="10">
                  <c:v>26.931696053998341</c:v>
                </c:pt>
                <c:pt idx="11">
                  <c:v>26.929876187372695</c:v>
                </c:pt>
                <c:pt idx="12">
                  <c:v>26.92805632074705</c:v>
                </c:pt>
                <c:pt idx="13">
                  <c:v>26.926236454121405</c:v>
                </c:pt>
                <c:pt idx="14">
                  <c:v>26.92441658749576</c:v>
                </c:pt>
                <c:pt idx="15">
                  <c:v>26.922596720870118</c:v>
                </c:pt>
                <c:pt idx="16">
                  <c:v>26.920776854244473</c:v>
                </c:pt>
                <c:pt idx="17">
                  <c:v>26.918956987618827</c:v>
                </c:pt>
                <c:pt idx="18">
                  <c:v>26.917137120993182</c:v>
                </c:pt>
                <c:pt idx="19">
                  <c:v>26.915317254367537</c:v>
                </c:pt>
                <c:pt idx="20">
                  <c:v>26.913497387741891</c:v>
                </c:pt>
                <c:pt idx="21">
                  <c:v>26.91167752111625</c:v>
                </c:pt>
                <c:pt idx="22">
                  <c:v>26.909857654490605</c:v>
                </c:pt>
                <c:pt idx="23">
                  <c:v>26.908037787864959</c:v>
                </c:pt>
                <c:pt idx="24">
                  <c:v>26.906217921239314</c:v>
                </c:pt>
                <c:pt idx="25">
                  <c:v>26.904398054613669</c:v>
                </c:pt>
                <c:pt idx="26">
                  <c:v>26.902578187988023</c:v>
                </c:pt>
                <c:pt idx="27">
                  <c:v>26.900758321362382</c:v>
                </c:pt>
                <c:pt idx="28">
                  <c:v>26.898938454736737</c:v>
                </c:pt>
                <c:pt idx="29">
                  <c:v>26.897118588111091</c:v>
                </c:pt>
                <c:pt idx="30">
                  <c:v>26.895298721485446</c:v>
                </c:pt>
                <c:pt idx="31">
                  <c:v>26.893478854859801</c:v>
                </c:pt>
                <c:pt idx="32">
                  <c:v>26.891658988234155</c:v>
                </c:pt>
                <c:pt idx="33">
                  <c:v>26.889839121608514</c:v>
                </c:pt>
                <c:pt idx="34">
                  <c:v>26.888019254982868</c:v>
                </c:pt>
                <c:pt idx="35">
                  <c:v>26.886199388357223</c:v>
                </c:pt>
                <c:pt idx="36">
                  <c:v>26.884379521731578</c:v>
                </c:pt>
                <c:pt idx="37">
                  <c:v>26.882559655105933</c:v>
                </c:pt>
                <c:pt idx="38">
                  <c:v>26.880739788480287</c:v>
                </c:pt>
                <c:pt idx="39">
                  <c:v>26.878919921854646</c:v>
                </c:pt>
                <c:pt idx="40">
                  <c:v>26.877100055229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EF-4654-9C30-DB0BBCAF75A0}"/>
            </c:ext>
          </c:extLst>
        </c:ser>
        <c:ser>
          <c:idx val="7"/>
          <c:order val="8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data!$AT$10:$AT$17</c:f>
              <c:numCache>
                <c:formatCode>0.00</c:formatCode>
                <c:ptCount val="8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</c:numCache>
            </c:numRef>
          </c:xVal>
          <c:yVal>
            <c:numRef>
              <c:f>data!$AW$10:$AW$17</c:f>
              <c:numCache>
                <c:formatCode>0.0000</c:formatCode>
                <c:ptCount val="8"/>
                <c:pt idx="0">
                  <c:v>26.95</c:v>
                </c:pt>
                <c:pt idx="1">
                  <c:v>26.949000000000002</c:v>
                </c:pt>
                <c:pt idx="2">
                  <c:v>26.9482</c:v>
                </c:pt>
                <c:pt idx="3">
                  <c:v>26.947199999999999</c:v>
                </c:pt>
                <c:pt idx="4">
                  <c:v>26.945799999999998</c:v>
                </c:pt>
                <c:pt idx="5">
                  <c:v>26.943850000000001</c:v>
                </c:pt>
                <c:pt idx="6">
                  <c:v>26.942</c:v>
                </c:pt>
                <c:pt idx="7">
                  <c:v>26.939599999999999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83-4BEF-9062-2C6DC513F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5.099668870541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</c:valAx>
      <c:valAx>
        <c:axId val="1"/>
        <c:scaling>
          <c:orientation val="minMax"/>
          <c:max val="26.95"/>
          <c:min val="26.93479999999999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data!$AZ$10:$AZ$28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  <c:pt idx="11">
                  <c:v>10.723805294763608</c:v>
                </c:pt>
              </c:numCache>
            </c:numRef>
          </c:xVal>
          <c:yVal>
            <c:numRef>
              <c:f>data!$BC$10:$BC$28</c:f>
              <c:numCache>
                <c:formatCode>0.0000</c:formatCode>
                <c:ptCount val="19"/>
                <c:pt idx="0">
                  <c:v>26.934799999999999</c:v>
                </c:pt>
                <c:pt idx="1">
                  <c:v>26.9328</c:v>
                </c:pt>
                <c:pt idx="2">
                  <c:v>26.9313</c:v>
                </c:pt>
                <c:pt idx="3">
                  <c:v>26.9298</c:v>
                </c:pt>
                <c:pt idx="4">
                  <c:v>26.927299999999999</c:v>
                </c:pt>
                <c:pt idx="5">
                  <c:v>26.924600000000002</c:v>
                </c:pt>
                <c:pt idx="6">
                  <c:v>26.91995</c:v>
                </c:pt>
                <c:pt idx="7">
                  <c:v>26.918399999999998</c:v>
                </c:pt>
                <c:pt idx="8">
                  <c:v>26.916350000000001</c:v>
                </c:pt>
                <c:pt idx="9">
                  <c:v>26.914999999999999</c:v>
                </c:pt>
                <c:pt idx="10">
                  <c:v>26.914000000000001</c:v>
                </c:pt>
                <c:pt idx="11">
                  <c:v>26.9133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BE-4647-983F-34EF151A1CD6}"/>
            </c:ext>
          </c:extLst>
        </c:ser>
        <c:ser>
          <c:idx val="2"/>
          <c:order val="1"/>
          <c:tx>
            <c:v>point90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BE-4647-983F-34EF151A1C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chart9!$A$10</c:f>
              <c:numCache>
                <c:formatCode>0.00</c:formatCode>
                <c:ptCount val="1"/>
                <c:pt idx="0">
                  <c:v>3.2</c:v>
                </c:pt>
              </c:numCache>
            </c:numRef>
          </c:xVal>
          <c:yVal>
            <c:numRef>
              <c:f>chart9!$B$10</c:f>
              <c:numCache>
                <c:formatCode>0.0000</c:formatCode>
                <c:ptCount val="1"/>
                <c:pt idx="0">
                  <c:v>26.917250000000003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BE-4647-983F-34EF151A1CD6}"/>
            </c:ext>
          </c:extLst>
        </c:ser>
        <c:ser>
          <c:idx val="3"/>
          <c:order val="2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chart9!$AC$21:$AC$41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chart9!$AD$21:$AD$41</c:f>
              <c:numCache>
                <c:formatCode>0.00</c:formatCode>
                <c:ptCount val="21"/>
                <c:pt idx="0">
                  <c:v>26.915279004593351</c:v>
                </c:pt>
                <c:pt idx="1">
                  <c:v>26.915279004593351</c:v>
                </c:pt>
                <c:pt idx="2">
                  <c:v>26.915279004593351</c:v>
                </c:pt>
                <c:pt idx="3">
                  <c:v>26.915279004593351</c:v>
                </c:pt>
                <c:pt idx="4">
                  <c:v>26.915279004593351</c:v>
                </c:pt>
                <c:pt idx="5">
                  <c:v>26.915279004593351</c:v>
                </c:pt>
                <c:pt idx="6">
                  <c:v>26.915279004593351</c:v>
                </c:pt>
                <c:pt idx="7">
                  <c:v>26.915279004593351</c:v>
                </c:pt>
                <c:pt idx="8">
                  <c:v>26.915279004593351</c:v>
                </c:pt>
                <c:pt idx="9">
                  <c:v>26.915279004593351</c:v>
                </c:pt>
                <c:pt idx="10">
                  <c:v>26.915279004593351</c:v>
                </c:pt>
                <c:pt idx="11">
                  <c:v>26.915279004593351</c:v>
                </c:pt>
                <c:pt idx="12">
                  <c:v>26.915279004593351</c:v>
                </c:pt>
                <c:pt idx="13">
                  <c:v>26.915279004593351</c:v>
                </c:pt>
                <c:pt idx="14">
                  <c:v>26.915279004593351</c:v>
                </c:pt>
                <c:pt idx="15">
                  <c:v>26.915279004593351</c:v>
                </c:pt>
                <c:pt idx="16">
                  <c:v>26.915279004593351</c:v>
                </c:pt>
                <c:pt idx="17">
                  <c:v>26.915279004593351</c:v>
                </c:pt>
                <c:pt idx="18">
                  <c:v>26.915279004593351</c:v>
                </c:pt>
                <c:pt idx="19">
                  <c:v>26.915279004593351</c:v>
                </c:pt>
                <c:pt idx="20">
                  <c:v>26.915279004593351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BE-4647-983F-34EF151A1CD6}"/>
            </c:ext>
          </c:extLst>
        </c:ser>
        <c:ser>
          <c:idx val="4"/>
          <c:order val="3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chart9!$AC$21:$AC$41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chart9!$AE$21:$AE$41</c:f>
              <c:numCache>
                <c:formatCode>0.00</c:formatCode>
                <c:ptCount val="21"/>
                <c:pt idx="0">
                  <c:v>26.925133981626612</c:v>
                </c:pt>
                <c:pt idx="1">
                  <c:v>26.925133981626612</c:v>
                </c:pt>
                <c:pt idx="2">
                  <c:v>26.925133981626612</c:v>
                </c:pt>
                <c:pt idx="3">
                  <c:v>26.925133981626612</c:v>
                </c:pt>
                <c:pt idx="4">
                  <c:v>26.925133981626612</c:v>
                </c:pt>
                <c:pt idx="5">
                  <c:v>26.925133981626612</c:v>
                </c:pt>
                <c:pt idx="6">
                  <c:v>26.925133981626612</c:v>
                </c:pt>
                <c:pt idx="7">
                  <c:v>26.925133981626612</c:v>
                </c:pt>
                <c:pt idx="8">
                  <c:v>26.925133981626612</c:v>
                </c:pt>
                <c:pt idx="9">
                  <c:v>26.925133981626612</c:v>
                </c:pt>
                <c:pt idx="10">
                  <c:v>26.925133981626612</c:v>
                </c:pt>
                <c:pt idx="11">
                  <c:v>26.925133981626612</c:v>
                </c:pt>
                <c:pt idx="12">
                  <c:v>26.925133981626612</c:v>
                </c:pt>
                <c:pt idx="13">
                  <c:v>26.925133981626612</c:v>
                </c:pt>
                <c:pt idx="14">
                  <c:v>26.925133981626612</c:v>
                </c:pt>
                <c:pt idx="15">
                  <c:v>26.925133981626612</c:v>
                </c:pt>
                <c:pt idx="16">
                  <c:v>26.925133981626612</c:v>
                </c:pt>
                <c:pt idx="17">
                  <c:v>26.925133981626612</c:v>
                </c:pt>
                <c:pt idx="18">
                  <c:v>26.925133981626612</c:v>
                </c:pt>
                <c:pt idx="19">
                  <c:v>26.925133981626612</c:v>
                </c:pt>
                <c:pt idx="20">
                  <c:v>26.925133981626612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BE-4647-983F-34EF151A1CD6}"/>
            </c:ext>
          </c:extLst>
        </c:ser>
        <c:ser>
          <c:idx val="5"/>
          <c:order val="4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BE-4647-983F-34EF151A1C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chart9!$E$16</c:f>
              <c:numCache>
                <c:formatCode>0.00</c:formatCode>
                <c:ptCount val="1"/>
                <c:pt idx="0">
                  <c:v>5.1456767226809461</c:v>
                </c:pt>
              </c:numCache>
            </c:numRef>
          </c:xVal>
          <c:yVal>
            <c:numRef>
              <c:f>chart9!$A$17</c:f>
              <c:numCache>
                <c:formatCode>0.0000</c:formatCode>
                <c:ptCount val="1"/>
                <c:pt idx="0">
                  <c:v>26.915279004593351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BE-4647-983F-34EF151A1CD6}"/>
            </c:ext>
          </c:extLst>
        </c:ser>
        <c:ser>
          <c:idx val="6"/>
          <c:order val="5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BE-4647-983F-34EF151A1C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chart9!$E$20</c:f>
              <c:numCache>
                <c:formatCode>0.00</c:formatCode>
                <c:ptCount val="1"/>
                <c:pt idx="0">
                  <c:v>1.3322941431888466</c:v>
                </c:pt>
              </c:numCache>
            </c:numRef>
          </c:xVal>
          <c:yVal>
            <c:numRef>
              <c:f>chart9!$A$21</c:f>
              <c:numCache>
                <c:formatCode>0.0000</c:formatCode>
                <c:ptCount val="1"/>
                <c:pt idx="0">
                  <c:v>26.925133981626612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0BE-4647-983F-34EF151A1CD6}"/>
            </c:ext>
          </c:extLst>
        </c:ser>
        <c:ser>
          <c:idx val="1"/>
          <c:order val="6"/>
          <c:tx>
            <c:v>linearline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chart9!$Z$3:$Z$43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chart9!$AB$3:$AB$43</c:f>
              <c:numCache>
                <c:formatCode>0.0000</c:formatCode>
                <c:ptCount val="41"/>
                <c:pt idx="0">
                  <c:v>26.934988958659872</c:v>
                </c:pt>
                <c:pt idx="1">
                  <c:v>26.931229218994904</c:v>
                </c:pt>
                <c:pt idx="2">
                  <c:v>26.927469479329936</c:v>
                </c:pt>
                <c:pt idx="3">
                  <c:v>26.923709739664968</c:v>
                </c:pt>
                <c:pt idx="4">
                  <c:v>26.91995</c:v>
                </c:pt>
                <c:pt idx="5">
                  <c:v>26.916190260335032</c:v>
                </c:pt>
                <c:pt idx="6">
                  <c:v>26.912430520670064</c:v>
                </c:pt>
                <c:pt idx="7">
                  <c:v>26.908670781005096</c:v>
                </c:pt>
                <c:pt idx="8">
                  <c:v>26.904911041340128</c:v>
                </c:pt>
                <c:pt idx="9">
                  <c:v>26.90115130167516</c:v>
                </c:pt>
                <c:pt idx="10">
                  <c:v>26.897391562010192</c:v>
                </c:pt>
                <c:pt idx="11">
                  <c:v>26.893631822345224</c:v>
                </c:pt>
                <c:pt idx="12">
                  <c:v>26.889872082680256</c:v>
                </c:pt>
                <c:pt idx="13">
                  <c:v>26.886112343015288</c:v>
                </c:pt>
                <c:pt idx="14">
                  <c:v>26.88235260335032</c:v>
                </c:pt>
                <c:pt idx="15">
                  <c:v>26.878592863685352</c:v>
                </c:pt>
                <c:pt idx="16">
                  <c:v>26.874833124020384</c:v>
                </c:pt>
                <c:pt idx="17">
                  <c:v>26.871073384355416</c:v>
                </c:pt>
                <c:pt idx="18">
                  <c:v>26.867313644690448</c:v>
                </c:pt>
                <c:pt idx="19">
                  <c:v>26.86355390502548</c:v>
                </c:pt>
                <c:pt idx="20">
                  <c:v>26.859794165360512</c:v>
                </c:pt>
                <c:pt idx="21">
                  <c:v>26.856034425695544</c:v>
                </c:pt>
                <c:pt idx="22">
                  <c:v>26.852274686030576</c:v>
                </c:pt>
                <c:pt idx="23">
                  <c:v>26.848514946365608</c:v>
                </c:pt>
                <c:pt idx="24">
                  <c:v>26.84475520670064</c:v>
                </c:pt>
                <c:pt idx="25">
                  <c:v>26.840995467035672</c:v>
                </c:pt>
                <c:pt idx="26">
                  <c:v>26.837235727370704</c:v>
                </c:pt>
                <c:pt idx="27">
                  <c:v>26.833475987705736</c:v>
                </c:pt>
                <c:pt idx="28">
                  <c:v>26.829716248040768</c:v>
                </c:pt>
                <c:pt idx="29">
                  <c:v>26.8259565083758</c:v>
                </c:pt>
                <c:pt idx="30">
                  <c:v>26.822196768710832</c:v>
                </c:pt>
                <c:pt idx="31">
                  <c:v>26.818437029045864</c:v>
                </c:pt>
                <c:pt idx="32">
                  <c:v>26.814677289380896</c:v>
                </c:pt>
                <c:pt idx="33">
                  <c:v>26.810917549715928</c:v>
                </c:pt>
                <c:pt idx="34">
                  <c:v>26.80715781005096</c:v>
                </c:pt>
                <c:pt idx="35">
                  <c:v>26.803398070385992</c:v>
                </c:pt>
                <c:pt idx="36">
                  <c:v>26.799638330721024</c:v>
                </c:pt>
                <c:pt idx="37">
                  <c:v>26.795878591056056</c:v>
                </c:pt>
                <c:pt idx="38">
                  <c:v>26.792118851391088</c:v>
                </c:pt>
                <c:pt idx="39">
                  <c:v>26.78835911172612</c:v>
                </c:pt>
                <c:pt idx="40">
                  <c:v>26.784599372061152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FA-441E-814E-8D41ECE1A386}"/>
            </c:ext>
          </c:extLst>
        </c:ser>
        <c:ser>
          <c:idx val="8"/>
          <c:order val="7"/>
          <c:tx>
            <c:v>linearline1.15t</c:v>
          </c:tx>
          <c:spPr>
            <a:ln w="15875"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chart9!$AA$3:$AA$43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chart9!$AB$3:$AB$43</c:f>
              <c:numCache>
                <c:formatCode>0.0000</c:formatCode>
                <c:ptCount val="41"/>
                <c:pt idx="0">
                  <c:v>26.934988958659872</c:v>
                </c:pt>
                <c:pt idx="1">
                  <c:v>26.931229218994904</c:v>
                </c:pt>
                <c:pt idx="2">
                  <c:v>26.927469479329936</c:v>
                </c:pt>
                <c:pt idx="3">
                  <c:v>26.923709739664968</c:v>
                </c:pt>
                <c:pt idx="4">
                  <c:v>26.91995</c:v>
                </c:pt>
                <c:pt idx="5">
                  <c:v>26.916190260335032</c:v>
                </c:pt>
                <c:pt idx="6">
                  <c:v>26.912430520670064</c:v>
                </c:pt>
                <c:pt idx="7">
                  <c:v>26.908670781005096</c:v>
                </c:pt>
                <c:pt idx="8">
                  <c:v>26.904911041340128</c:v>
                </c:pt>
                <c:pt idx="9">
                  <c:v>26.90115130167516</c:v>
                </c:pt>
                <c:pt idx="10">
                  <c:v>26.897391562010192</c:v>
                </c:pt>
                <c:pt idx="11">
                  <c:v>26.893631822345224</c:v>
                </c:pt>
                <c:pt idx="12">
                  <c:v>26.889872082680256</c:v>
                </c:pt>
                <c:pt idx="13">
                  <c:v>26.886112343015288</c:v>
                </c:pt>
                <c:pt idx="14">
                  <c:v>26.88235260335032</c:v>
                </c:pt>
                <c:pt idx="15">
                  <c:v>26.878592863685352</c:v>
                </c:pt>
                <c:pt idx="16">
                  <c:v>26.874833124020384</c:v>
                </c:pt>
                <c:pt idx="17">
                  <c:v>26.871073384355416</c:v>
                </c:pt>
                <c:pt idx="18">
                  <c:v>26.867313644690448</c:v>
                </c:pt>
                <c:pt idx="19">
                  <c:v>26.86355390502548</c:v>
                </c:pt>
                <c:pt idx="20">
                  <c:v>26.859794165360512</c:v>
                </c:pt>
                <c:pt idx="21">
                  <c:v>26.856034425695544</c:v>
                </c:pt>
                <c:pt idx="22">
                  <c:v>26.852274686030576</c:v>
                </c:pt>
                <c:pt idx="23">
                  <c:v>26.848514946365608</c:v>
                </c:pt>
                <c:pt idx="24">
                  <c:v>26.84475520670064</c:v>
                </c:pt>
                <c:pt idx="25">
                  <c:v>26.840995467035672</c:v>
                </c:pt>
                <c:pt idx="26">
                  <c:v>26.837235727370704</c:v>
                </c:pt>
                <c:pt idx="27">
                  <c:v>26.833475987705736</c:v>
                </c:pt>
                <c:pt idx="28">
                  <c:v>26.829716248040768</c:v>
                </c:pt>
                <c:pt idx="29">
                  <c:v>26.8259565083758</c:v>
                </c:pt>
                <c:pt idx="30">
                  <c:v>26.822196768710832</c:v>
                </c:pt>
                <c:pt idx="31">
                  <c:v>26.818437029045864</c:v>
                </c:pt>
                <c:pt idx="32">
                  <c:v>26.814677289380896</c:v>
                </c:pt>
                <c:pt idx="33">
                  <c:v>26.810917549715928</c:v>
                </c:pt>
                <c:pt idx="34">
                  <c:v>26.80715781005096</c:v>
                </c:pt>
                <c:pt idx="35">
                  <c:v>26.803398070385992</c:v>
                </c:pt>
                <c:pt idx="36">
                  <c:v>26.799638330721024</c:v>
                </c:pt>
                <c:pt idx="37">
                  <c:v>26.795878591056056</c:v>
                </c:pt>
                <c:pt idx="38">
                  <c:v>26.792118851391088</c:v>
                </c:pt>
                <c:pt idx="39">
                  <c:v>26.78835911172612</c:v>
                </c:pt>
                <c:pt idx="40">
                  <c:v>26.784599372061152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FA-441E-814E-8D41ECE1A386}"/>
            </c:ext>
          </c:extLst>
        </c:ser>
        <c:ser>
          <c:idx val="7"/>
          <c:order val="8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data!$AZ$10:$AZ$16</c:f>
              <c:numCache>
                <c:formatCode>0.00</c:formatCode>
                <c:ptCount val="7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</c:numCache>
            </c:numRef>
          </c:xVal>
          <c:yVal>
            <c:numRef>
              <c:f>data!$BC$10:$BC$16</c:f>
              <c:numCache>
                <c:formatCode>0.0000</c:formatCode>
                <c:ptCount val="7"/>
                <c:pt idx="0">
                  <c:v>26.934799999999999</c:v>
                </c:pt>
                <c:pt idx="1">
                  <c:v>26.9328</c:v>
                </c:pt>
                <c:pt idx="2">
                  <c:v>26.9313</c:v>
                </c:pt>
                <c:pt idx="3">
                  <c:v>26.9298</c:v>
                </c:pt>
                <c:pt idx="4">
                  <c:v>26.927299999999999</c:v>
                </c:pt>
                <c:pt idx="5">
                  <c:v>26.924600000000002</c:v>
                </c:pt>
                <c:pt idx="6">
                  <c:v>26.91995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2A-4677-AF63-41AC31BCC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0.72380529476360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34799999999999"/>
          <c:min val="26.913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data!$BF$10:$BF$28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7.0710678118654755</c:v>
                </c:pt>
                <c:pt idx="11">
                  <c:v>8.717797887081348</c:v>
                </c:pt>
                <c:pt idx="12">
                  <c:v>11.74734012447073</c:v>
                </c:pt>
                <c:pt idx="13">
                  <c:v>15.491933384829668</c:v>
                </c:pt>
              </c:numCache>
            </c:numRef>
          </c:xVal>
          <c:yVal>
            <c:numRef>
              <c:f>data!$BI$10:$BI$28</c:f>
              <c:numCache>
                <c:formatCode>0.0000</c:formatCode>
                <c:ptCount val="19"/>
                <c:pt idx="0">
                  <c:v>26.9133</c:v>
                </c:pt>
                <c:pt idx="1">
                  <c:v>26.912299999999998</c:v>
                </c:pt>
                <c:pt idx="2">
                  <c:v>26.910699999999999</c:v>
                </c:pt>
                <c:pt idx="3">
                  <c:v>26.909199999999998</c:v>
                </c:pt>
                <c:pt idx="4">
                  <c:v>26.9072</c:v>
                </c:pt>
                <c:pt idx="5">
                  <c:v>26.904699999999998</c:v>
                </c:pt>
                <c:pt idx="6">
                  <c:v>26.901700000000002</c:v>
                </c:pt>
                <c:pt idx="7">
                  <c:v>26.898800000000001</c:v>
                </c:pt>
                <c:pt idx="8">
                  <c:v>26.897300000000001</c:v>
                </c:pt>
                <c:pt idx="9">
                  <c:v>26.896000000000001</c:v>
                </c:pt>
                <c:pt idx="10">
                  <c:v>26.895250000000001</c:v>
                </c:pt>
                <c:pt idx="11">
                  <c:v>26.894749999999998</c:v>
                </c:pt>
                <c:pt idx="12">
                  <c:v>26.893999999999998</c:v>
                </c:pt>
                <c:pt idx="13">
                  <c:v>26.893699999999999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26-4180-8DDC-AB56422FEF55}"/>
            </c:ext>
          </c:extLst>
        </c:ser>
        <c:ser>
          <c:idx val="2"/>
          <c:order val="1"/>
          <c:tx>
            <c:v>point90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26-4180-8DDC-AB56422FEF5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chart10!$A$10</c:f>
              <c:numCache>
                <c:formatCode>0.00</c:formatCode>
                <c:ptCount val="1"/>
                <c:pt idx="0">
                  <c:v>3.2</c:v>
                </c:pt>
              </c:numCache>
            </c:numRef>
          </c:xVal>
          <c:yVal>
            <c:numRef>
              <c:f>chart10!$B$10</c:f>
              <c:numCache>
                <c:formatCode>0.0000</c:formatCode>
                <c:ptCount val="1"/>
                <c:pt idx="0">
                  <c:v>26.898200000000003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26-4180-8DDC-AB56422FEF55}"/>
            </c:ext>
          </c:extLst>
        </c:ser>
        <c:ser>
          <c:idx val="3"/>
          <c:order val="2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chart10!$AC$21:$AC$41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chart10!$AD$21:$AD$41</c:f>
              <c:numCache>
                <c:formatCode>0.00</c:formatCode>
                <c:ptCount val="21"/>
                <c:pt idx="0">
                  <c:v>26.896487842016306</c:v>
                </c:pt>
                <c:pt idx="1">
                  <c:v>26.896487842016306</c:v>
                </c:pt>
                <c:pt idx="2">
                  <c:v>26.896487842016306</c:v>
                </c:pt>
                <c:pt idx="3">
                  <c:v>26.896487842016306</c:v>
                </c:pt>
                <c:pt idx="4">
                  <c:v>26.896487842016306</c:v>
                </c:pt>
                <c:pt idx="5">
                  <c:v>26.896487842016306</c:v>
                </c:pt>
                <c:pt idx="6">
                  <c:v>26.896487842016306</c:v>
                </c:pt>
                <c:pt idx="7">
                  <c:v>26.896487842016306</c:v>
                </c:pt>
                <c:pt idx="8">
                  <c:v>26.896487842016306</c:v>
                </c:pt>
                <c:pt idx="9">
                  <c:v>26.896487842016306</c:v>
                </c:pt>
                <c:pt idx="10">
                  <c:v>26.896487842016306</c:v>
                </c:pt>
                <c:pt idx="11">
                  <c:v>26.896487842016306</c:v>
                </c:pt>
                <c:pt idx="12">
                  <c:v>26.896487842016306</c:v>
                </c:pt>
                <c:pt idx="13">
                  <c:v>26.896487842016306</c:v>
                </c:pt>
                <c:pt idx="14">
                  <c:v>26.896487842016306</c:v>
                </c:pt>
                <c:pt idx="15">
                  <c:v>26.896487842016306</c:v>
                </c:pt>
                <c:pt idx="16">
                  <c:v>26.896487842016306</c:v>
                </c:pt>
                <c:pt idx="17">
                  <c:v>26.896487842016306</c:v>
                </c:pt>
                <c:pt idx="18">
                  <c:v>26.896487842016306</c:v>
                </c:pt>
                <c:pt idx="19">
                  <c:v>26.896487842016306</c:v>
                </c:pt>
                <c:pt idx="20">
                  <c:v>26.896487842016306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026-4180-8DDC-AB56422FEF55}"/>
            </c:ext>
          </c:extLst>
        </c:ser>
        <c:ser>
          <c:idx val="4"/>
          <c:order val="3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chart10!$AC$21:$AC$41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chart10!$AE$21:$AE$41</c:f>
              <c:numCache>
                <c:formatCode>0.00</c:formatCode>
                <c:ptCount val="21"/>
                <c:pt idx="0">
                  <c:v>26.905048631934797</c:v>
                </c:pt>
                <c:pt idx="1">
                  <c:v>26.905048631934797</c:v>
                </c:pt>
                <c:pt idx="2">
                  <c:v>26.905048631934797</c:v>
                </c:pt>
                <c:pt idx="3">
                  <c:v>26.905048631934797</c:v>
                </c:pt>
                <c:pt idx="4">
                  <c:v>26.905048631934797</c:v>
                </c:pt>
                <c:pt idx="5">
                  <c:v>26.905048631934797</c:v>
                </c:pt>
                <c:pt idx="6">
                  <c:v>26.905048631934797</c:v>
                </c:pt>
                <c:pt idx="7">
                  <c:v>26.905048631934797</c:v>
                </c:pt>
                <c:pt idx="8">
                  <c:v>26.905048631934797</c:v>
                </c:pt>
                <c:pt idx="9">
                  <c:v>26.905048631934797</c:v>
                </c:pt>
                <c:pt idx="10">
                  <c:v>26.905048631934797</c:v>
                </c:pt>
                <c:pt idx="11">
                  <c:v>26.905048631934797</c:v>
                </c:pt>
                <c:pt idx="12">
                  <c:v>26.905048631934797</c:v>
                </c:pt>
                <c:pt idx="13">
                  <c:v>26.905048631934797</c:v>
                </c:pt>
                <c:pt idx="14">
                  <c:v>26.905048631934797</c:v>
                </c:pt>
                <c:pt idx="15">
                  <c:v>26.905048631934797</c:v>
                </c:pt>
                <c:pt idx="16">
                  <c:v>26.905048631934797</c:v>
                </c:pt>
                <c:pt idx="17">
                  <c:v>26.905048631934797</c:v>
                </c:pt>
                <c:pt idx="18">
                  <c:v>26.905048631934797</c:v>
                </c:pt>
                <c:pt idx="19">
                  <c:v>26.905048631934797</c:v>
                </c:pt>
                <c:pt idx="20">
                  <c:v>26.905048631934797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26-4180-8DDC-AB56422FEF55}"/>
            </c:ext>
          </c:extLst>
        </c:ser>
        <c:ser>
          <c:idx val="5"/>
          <c:order val="4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26-4180-8DDC-AB56422FEF5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chart10!$E$16</c:f>
              <c:numCache>
                <c:formatCode>0.00</c:formatCode>
                <c:ptCount val="1"/>
                <c:pt idx="0">
                  <c:v>4.8752126800100086</c:v>
                </c:pt>
              </c:numCache>
            </c:numRef>
          </c:xVal>
          <c:yVal>
            <c:numRef>
              <c:f>chart10!$A$17</c:f>
              <c:numCache>
                <c:formatCode>0.0000</c:formatCode>
                <c:ptCount val="1"/>
                <c:pt idx="0">
                  <c:v>26.896487842016306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26-4180-8DDC-AB56422FEF55}"/>
            </c:ext>
          </c:extLst>
        </c:ser>
        <c:ser>
          <c:idx val="6"/>
          <c:order val="5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26-4180-8DDC-AB56422FEF5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chart10!$E$20</c:f>
              <c:numCache>
                <c:formatCode>0.00</c:formatCode>
                <c:ptCount val="1"/>
                <c:pt idx="0">
                  <c:v>1.3564503321049415</c:v>
                </c:pt>
              </c:numCache>
            </c:numRef>
          </c:xVal>
          <c:yVal>
            <c:numRef>
              <c:f>chart10!$A$21</c:f>
              <c:numCache>
                <c:formatCode>0.0000</c:formatCode>
                <c:ptCount val="1"/>
                <c:pt idx="0">
                  <c:v>26.905048631934797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26-4180-8DDC-AB56422FEF55}"/>
            </c:ext>
          </c:extLst>
        </c:ser>
        <c:ser>
          <c:idx val="1"/>
          <c:order val="6"/>
          <c:tx>
            <c:v>linearline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chart10!$Z$3:$Z$43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chart10!$AB$3:$AB$43</c:f>
              <c:numCache>
                <c:formatCode>0.0000</c:formatCode>
                <c:ptCount val="41"/>
                <c:pt idx="0">
                  <c:v>26.913609421853288</c:v>
                </c:pt>
                <c:pt idx="1">
                  <c:v>26.910632066389965</c:v>
                </c:pt>
                <c:pt idx="2">
                  <c:v>26.907654710926643</c:v>
                </c:pt>
                <c:pt idx="3">
                  <c:v>26.904677355463324</c:v>
                </c:pt>
                <c:pt idx="4">
                  <c:v>26.901700000000002</c:v>
                </c:pt>
                <c:pt idx="5">
                  <c:v>26.898722644536679</c:v>
                </c:pt>
                <c:pt idx="6">
                  <c:v>26.895745289073361</c:v>
                </c:pt>
                <c:pt idx="7">
                  <c:v>26.892767933610038</c:v>
                </c:pt>
                <c:pt idx="8">
                  <c:v>26.889790578146716</c:v>
                </c:pt>
                <c:pt idx="9">
                  <c:v>26.886813222683394</c:v>
                </c:pt>
                <c:pt idx="10">
                  <c:v>26.883835867220071</c:v>
                </c:pt>
                <c:pt idx="11">
                  <c:v>26.880858511756752</c:v>
                </c:pt>
                <c:pt idx="12">
                  <c:v>26.87788115629343</c:v>
                </c:pt>
                <c:pt idx="13">
                  <c:v>26.874903800830108</c:v>
                </c:pt>
                <c:pt idx="14">
                  <c:v>26.871926445366789</c:v>
                </c:pt>
                <c:pt idx="15">
                  <c:v>26.868949089903467</c:v>
                </c:pt>
                <c:pt idx="16">
                  <c:v>26.865971734440144</c:v>
                </c:pt>
                <c:pt idx="17">
                  <c:v>26.862994378976822</c:v>
                </c:pt>
                <c:pt idx="18">
                  <c:v>26.8600170235135</c:v>
                </c:pt>
                <c:pt idx="19">
                  <c:v>26.857039668050181</c:v>
                </c:pt>
                <c:pt idx="20">
                  <c:v>26.854062312586858</c:v>
                </c:pt>
                <c:pt idx="21">
                  <c:v>26.851084957123536</c:v>
                </c:pt>
                <c:pt idx="22">
                  <c:v>26.848107601660217</c:v>
                </c:pt>
                <c:pt idx="23">
                  <c:v>26.845130246196895</c:v>
                </c:pt>
                <c:pt idx="24">
                  <c:v>26.842152890733573</c:v>
                </c:pt>
                <c:pt idx="25">
                  <c:v>26.83917553527025</c:v>
                </c:pt>
                <c:pt idx="26">
                  <c:v>26.836198179806928</c:v>
                </c:pt>
                <c:pt idx="27">
                  <c:v>26.833220824343609</c:v>
                </c:pt>
                <c:pt idx="28">
                  <c:v>26.830243468880287</c:v>
                </c:pt>
                <c:pt idx="29">
                  <c:v>26.827266113416965</c:v>
                </c:pt>
                <c:pt idx="30">
                  <c:v>26.824288757953646</c:v>
                </c:pt>
                <c:pt idx="31">
                  <c:v>26.821311402490323</c:v>
                </c:pt>
                <c:pt idx="32">
                  <c:v>26.818334047027001</c:v>
                </c:pt>
                <c:pt idx="33">
                  <c:v>26.815356691563679</c:v>
                </c:pt>
                <c:pt idx="34">
                  <c:v>26.812379336100356</c:v>
                </c:pt>
                <c:pt idx="35">
                  <c:v>26.809401980637038</c:v>
                </c:pt>
                <c:pt idx="36">
                  <c:v>26.806424625173715</c:v>
                </c:pt>
                <c:pt idx="37">
                  <c:v>26.803447269710393</c:v>
                </c:pt>
                <c:pt idx="38">
                  <c:v>26.800469914247074</c:v>
                </c:pt>
                <c:pt idx="39">
                  <c:v>26.797492558783752</c:v>
                </c:pt>
                <c:pt idx="40">
                  <c:v>26.794515203320429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EB-4827-847B-0848ED59D0AC}"/>
            </c:ext>
          </c:extLst>
        </c:ser>
        <c:ser>
          <c:idx val="8"/>
          <c:order val="7"/>
          <c:tx>
            <c:v>linearline1.15t</c:v>
          </c:tx>
          <c:spPr>
            <a:ln w="15875"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chart10!$AA$3:$AA$43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chart10!$AB$3:$AB$43</c:f>
              <c:numCache>
                <c:formatCode>0.0000</c:formatCode>
                <c:ptCount val="41"/>
                <c:pt idx="0">
                  <c:v>26.913609421853288</c:v>
                </c:pt>
                <c:pt idx="1">
                  <c:v>26.910632066389965</c:v>
                </c:pt>
                <c:pt idx="2">
                  <c:v>26.907654710926643</c:v>
                </c:pt>
                <c:pt idx="3">
                  <c:v>26.904677355463324</c:v>
                </c:pt>
                <c:pt idx="4">
                  <c:v>26.901700000000002</c:v>
                </c:pt>
                <c:pt idx="5">
                  <c:v>26.898722644536679</c:v>
                </c:pt>
                <c:pt idx="6">
                  <c:v>26.895745289073361</c:v>
                </c:pt>
                <c:pt idx="7">
                  <c:v>26.892767933610038</c:v>
                </c:pt>
                <c:pt idx="8">
                  <c:v>26.889790578146716</c:v>
                </c:pt>
                <c:pt idx="9">
                  <c:v>26.886813222683394</c:v>
                </c:pt>
                <c:pt idx="10">
                  <c:v>26.883835867220071</c:v>
                </c:pt>
                <c:pt idx="11">
                  <c:v>26.880858511756752</c:v>
                </c:pt>
                <c:pt idx="12">
                  <c:v>26.87788115629343</c:v>
                </c:pt>
                <c:pt idx="13">
                  <c:v>26.874903800830108</c:v>
                </c:pt>
                <c:pt idx="14">
                  <c:v>26.871926445366789</c:v>
                </c:pt>
                <c:pt idx="15">
                  <c:v>26.868949089903467</c:v>
                </c:pt>
                <c:pt idx="16">
                  <c:v>26.865971734440144</c:v>
                </c:pt>
                <c:pt idx="17">
                  <c:v>26.862994378976822</c:v>
                </c:pt>
                <c:pt idx="18">
                  <c:v>26.8600170235135</c:v>
                </c:pt>
                <c:pt idx="19">
                  <c:v>26.857039668050181</c:v>
                </c:pt>
                <c:pt idx="20">
                  <c:v>26.854062312586858</c:v>
                </c:pt>
                <c:pt idx="21">
                  <c:v>26.851084957123536</c:v>
                </c:pt>
                <c:pt idx="22">
                  <c:v>26.848107601660217</c:v>
                </c:pt>
                <c:pt idx="23">
                  <c:v>26.845130246196895</c:v>
                </c:pt>
                <c:pt idx="24">
                  <c:v>26.842152890733573</c:v>
                </c:pt>
                <c:pt idx="25">
                  <c:v>26.83917553527025</c:v>
                </c:pt>
                <c:pt idx="26">
                  <c:v>26.836198179806928</c:v>
                </c:pt>
                <c:pt idx="27">
                  <c:v>26.833220824343609</c:v>
                </c:pt>
                <c:pt idx="28">
                  <c:v>26.830243468880287</c:v>
                </c:pt>
                <c:pt idx="29">
                  <c:v>26.827266113416965</c:v>
                </c:pt>
                <c:pt idx="30">
                  <c:v>26.824288757953646</c:v>
                </c:pt>
                <c:pt idx="31">
                  <c:v>26.821311402490323</c:v>
                </c:pt>
                <c:pt idx="32">
                  <c:v>26.818334047027001</c:v>
                </c:pt>
                <c:pt idx="33">
                  <c:v>26.815356691563679</c:v>
                </c:pt>
                <c:pt idx="34">
                  <c:v>26.812379336100356</c:v>
                </c:pt>
                <c:pt idx="35">
                  <c:v>26.809401980637038</c:v>
                </c:pt>
                <c:pt idx="36">
                  <c:v>26.806424625173715</c:v>
                </c:pt>
                <c:pt idx="37">
                  <c:v>26.803447269710393</c:v>
                </c:pt>
                <c:pt idx="38">
                  <c:v>26.800469914247074</c:v>
                </c:pt>
                <c:pt idx="39">
                  <c:v>26.797492558783752</c:v>
                </c:pt>
                <c:pt idx="40">
                  <c:v>26.794515203320429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EB-4827-847B-0848ED59D0AC}"/>
            </c:ext>
          </c:extLst>
        </c:ser>
        <c:ser>
          <c:idx val="7"/>
          <c:order val="8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data!$BF$10:$BF$16</c:f>
              <c:numCache>
                <c:formatCode>0.00</c:formatCode>
                <c:ptCount val="7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</c:numCache>
            </c:numRef>
          </c:xVal>
          <c:yVal>
            <c:numRef>
              <c:f>data!$BI$10:$BI$16</c:f>
              <c:numCache>
                <c:formatCode>0.0000</c:formatCode>
                <c:ptCount val="7"/>
                <c:pt idx="0">
                  <c:v>26.9133</c:v>
                </c:pt>
                <c:pt idx="1">
                  <c:v>26.912299999999998</c:v>
                </c:pt>
                <c:pt idx="2">
                  <c:v>26.910699999999999</c:v>
                </c:pt>
                <c:pt idx="3">
                  <c:v>26.909199999999998</c:v>
                </c:pt>
                <c:pt idx="4">
                  <c:v>26.9072</c:v>
                </c:pt>
                <c:pt idx="5">
                  <c:v>26.904699999999998</c:v>
                </c:pt>
                <c:pt idx="6">
                  <c:v>26.901700000000002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29C-4861-B34E-403BBAB3B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5.49193338482966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133"/>
          <c:min val="26.89369999999999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data!$BL$10:$BL$28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7.0710678118654755</c:v>
                </c:pt>
                <c:pt idx="11">
                  <c:v>8.717797887081348</c:v>
                </c:pt>
                <c:pt idx="12">
                  <c:v>11.74734012447073</c:v>
                </c:pt>
                <c:pt idx="13">
                  <c:v>15.491933384829668</c:v>
                </c:pt>
              </c:numCache>
            </c:numRef>
          </c:xVal>
          <c:yVal>
            <c:numRef>
              <c:f>data!$BO$10:$BO$28</c:f>
              <c:numCache>
                <c:formatCode>0.0000</c:formatCode>
                <c:ptCount val="19"/>
                <c:pt idx="0">
                  <c:v>26.955950000000001</c:v>
                </c:pt>
                <c:pt idx="1">
                  <c:v>26.912299999999998</c:v>
                </c:pt>
                <c:pt idx="2">
                  <c:v>26.910699999999999</c:v>
                </c:pt>
                <c:pt idx="3">
                  <c:v>26.909199999999998</c:v>
                </c:pt>
                <c:pt idx="4">
                  <c:v>26.9072</c:v>
                </c:pt>
                <c:pt idx="5">
                  <c:v>26.904699999999998</c:v>
                </c:pt>
                <c:pt idx="6">
                  <c:v>26.901700000000002</c:v>
                </c:pt>
                <c:pt idx="7">
                  <c:v>26.898800000000001</c:v>
                </c:pt>
                <c:pt idx="8">
                  <c:v>26.897300000000001</c:v>
                </c:pt>
                <c:pt idx="9">
                  <c:v>26.896000000000001</c:v>
                </c:pt>
                <c:pt idx="10">
                  <c:v>26.895250000000001</c:v>
                </c:pt>
                <c:pt idx="11">
                  <c:v>26.894749999999998</c:v>
                </c:pt>
                <c:pt idx="12">
                  <c:v>26.893999999999998</c:v>
                </c:pt>
                <c:pt idx="13">
                  <c:v>26.893699999999999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4-4BAA-B213-A37D79285E6E}"/>
            </c:ext>
          </c:extLst>
        </c:ser>
        <c:ser>
          <c:idx val="2"/>
          <c:order val="1"/>
          <c:tx>
            <c:v>point90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BE54-4BAA-B213-A37D79285E6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chart11!$A$10</c:f>
              <c:numCache>
                <c:formatCode>0.00</c:formatCode>
                <c:ptCount val="1"/>
                <c:pt idx="0">
                  <c:v>1.7000000000000002</c:v>
                </c:pt>
              </c:numCache>
            </c:numRef>
          </c:xVal>
          <c:yVal>
            <c:numRef>
              <c:f>chart11!$B$10</c:f>
              <c:numCache>
                <c:formatCode>0.0000</c:formatCode>
                <c:ptCount val="1"/>
                <c:pt idx="0">
                  <c:v>26.908100000000001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54-4BAA-B213-A37D79285E6E}"/>
            </c:ext>
          </c:extLst>
        </c:ser>
        <c:ser>
          <c:idx val="3"/>
          <c:order val="2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chart11!$AC$21:$AC$41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chart11!$AD$21:$AD$41</c:f>
              <c:numCache>
                <c:formatCode>0.00</c:formatCode>
                <c:ptCount val="21"/>
                <c:pt idx="0">
                  <c:v>26.90348721605487</c:v>
                </c:pt>
                <c:pt idx="1">
                  <c:v>26.90348721605487</c:v>
                </c:pt>
                <c:pt idx="2">
                  <c:v>26.90348721605487</c:v>
                </c:pt>
                <c:pt idx="3">
                  <c:v>26.90348721605487</c:v>
                </c:pt>
                <c:pt idx="4">
                  <c:v>26.90348721605487</c:v>
                </c:pt>
                <c:pt idx="5">
                  <c:v>26.90348721605487</c:v>
                </c:pt>
                <c:pt idx="6">
                  <c:v>26.90348721605487</c:v>
                </c:pt>
                <c:pt idx="7">
                  <c:v>26.90348721605487</c:v>
                </c:pt>
                <c:pt idx="8">
                  <c:v>26.90348721605487</c:v>
                </c:pt>
                <c:pt idx="9">
                  <c:v>26.90348721605487</c:v>
                </c:pt>
                <c:pt idx="10">
                  <c:v>26.90348721605487</c:v>
                </c:pt>
                <c:pt idx="11">
                  <c:v>26.90348721605487</c:v>
                </c:pt>
                <c:pt idx="12">
                  <c:v>26.90348721605487</c:v>
                </c:pt>
                <c:pt idx="13">
                  <c:v>26.90348721605487</c:v>
                </c:pt>
                <c:pt idx="14">
                  <c:v>26.90348721605487</c:v>
                </c:pt>
                <c:pt idx="15">
                  <c:v>26.90348721605487</c:v>
                </c:pt>
                <c:pt idx="16">
                  <c:v>26.90348721605487</c:v>
                </c:pt>
                <c:pt idx="17">
                  <c:v>26.90348721605487</c:v>
                </c:pt>
                <c:pt idx="18">
                  <c:v>26.90348721605487</c:v>
                </c:pt>
                <c:pt idx="19">
                  <c:v>26.90348721605487</c:v>
                </c:pt>
                <c:pt idx="20">
                  <c:v>26.90348721605487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E54-4BAA-B213-A37D79285E6E}"/>
            </c:ext>
          </c:extLst>
        </c:ser>
        <c:ser>
          <c:idx val="4"/>
          <c:order val="3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chart11!$AC$21:$AC$41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chart11!$AE$21:$AE$41</c:f>
              <c:numCache>
                <c:formatCode>0.00</c:formatCode>
                <c:ptCount val="21"/>
                <c:pt idx="0">
                  <c:v>26.926551135780528</c:v>
                </c:pt>
                <c:pt idx="1">
                  <c:v>26.926551135780528</c:v>
                </c:pt>
                <c:pt idx="2">
                  <c:v>26.926551135780528</c:v>
                </c:pt>
                <c:pt idx="3">
                  <c:v>26.926551135780528</c:v>
                </c:pt>
                <c:pt idx="4">
                  <c:v>26.926551135780528</c:v>
                </c:pt>
                <c:pt idx="5">
                  <c:v>26.926551135780528</c:v>
                </c:pt>
                <c:pt idx="6">
                  <c:v>26.926551135780528</c:v>
                </c:pt>
                <c:pt idx="7">
                  <c:v>26.926551135780528</c:v>
                </c:pt>
                <c:pt idx="8">
                  <c:v>26.926551135780528</c:v>
                </c:pt>
                <c:pt idx="9">
                  <c:v>26.926551135780528</c:v>
                </c:pt>
                <c:pt idx="10">
                  <c:v>26.926551135780528</c:v>
                </c:pt>
                <c:pt idx="11">
                  <c:v>26.926551135780528</c:v>
                </c:pt>
                <c:pt idx="12">
                  <c:v>26.926551135780528</c:v>
                </c:pt>
                <c:pt idx="13">
                  <c:v>26.926551135780528</c:v>
                </c:pt>
                <c:pt idx="14">
                  <c:v>26.926551135780528</c:v>
                </c:pt>
                <c:pt idx="15">
                  <c:v>26.926551135780528</c:v>
                </c:pt>
                <c:pt idx="16">
                  <c:v>26.926551135780528</c:v>
                </c:pt>
                <c:pt idx="17">
                  <c:v>26.926551135780528</c:v>
                </c:pt>
                <c:pt idx="18">
                  <c:v>26.926551135780528</c:v>
                </c:pt>
                <c:pt idx="19">
                  <c:v>26.926551135780528</c:v>
                </c:pt>
                <c:pt idx="20">
                  <c:v>26.926551135780528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E54-4BAA-B213-A37D79285E6E}"/>
            </c:ext>
          </c:extLst>
        </c:ser>
        <c:ser>
          <c:idx val="5"/>
          <c:order val="4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BE54-4BAA-B213-A37D79285E6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chart11!$E$16</c:f>
              <c:numCache>
                <c:formatCode>0.00</c:formatCode>
                <c:ptCount val="1"/>
                <c:pt idx="0">
                  <c:v>1.6510243579823509</c:v>
                </c:pt>
              </c:numCache>
            </c:numRef>
          </c:xVal>
          <c:yVal>
            <c:numRef>
              <c:f>chart11!$A$17</c:f>
              <c:numCache>
                <c:formatCode>0.0000</c:formatCode>
                <c:ptCount val="1"/>
                <c:pt idx="0">
                  <c:v>26.90348721605487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E54-4BAA-B213-A37D79285E6E}"/>
            </c:ext>
          </c:extLst>
        </c:ser>
        <c:ser>
          <c:idx val="6"/>
          <c:order val="5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BE54-4BAA-B213-A37D79285E6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chart11!$E$20</c:f>
              <c:numCache>
                <c:formatCode>0.00</c:formatCode>
                <c:ptCount val="1"/>
                <c:pt idx="0">
                  <c:v>0.21298366908490607</c:v>
                </c:pt>
              </c:numCache>
            </c:numRef>
          </c:xVal>
          <c:yVal>
            <c:numRef>
              <c:f>chart11!$A$21</c:f>
              <c:numCache>
                <c:formatCode>0.0000</c:formatCode>
                <c:ptCount val="1"/>
                <c:pt idx="0">
                  <c:v>26.926551135780528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E54-4BAA-B213-A37D79285E6E}"/>
            </c:ext>
          </c:extLst>
        </c:ser>
        <c:ser>
          <c:idx val="1"/>
          <c:order val="6"/>
          <c:tx>
            <c:v>linearline</c:v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chart11!$Z$3:$Z$43</c:f>
              <c:numCache>
                <c:formatCode>0.00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chart11!$AB$3:$AB$43</c:f>
              <c:numCache>
                <c:formatCode>0.0000</c:formatCode>
                <c:ptCount val="41"/>
                <c:pt idx="0">
                  <c:v>26.949615055506182</c:v>
                </c:pt>
                <c:pt idx="1">
                  <c:v>26.910699999999999</c:v>
                </c:pt>
                <c:pt idx="2">
                  <c:v>26.871784944493815</c:v>
                </c:pt>
                <c:pt idx="3">
                  <c:v>26.832869888987631</c:v>
                </c:pt>
                <c:pt idx="4">
                  <c:v>26.793954833481447</c:v>
                </c:pt>
                <c:pt idx="5">
                  <c:v>26.755039777975263</c:v>
                </c:pt>
                <c:pt idx="6">
                  <c:v>26.716124722469079</c:v>
                </c:pt>
                <c:pt idx="7">
                  <c:v>26.677209666962895</c:v>
                </c:pt>
                <c:pt idx="8">
                  <c:v>26.638294611456711</c:v>
                </c:pt>
                <c:pt idx="9">
                  <c:v>26.599379555950527</c:v>
                </c:pt>
                <c:pt idx="10">
                  <c:v>26.560464500444343</c:v>
                </c:pt>
                <c:pt idx="11">
                  <c:v>26.521549444938159</c:v>
                </c:pt>
                <c:pt idx="12">
                  <c:v>26.482634389431976</c:v>
                </c:pt>
                <c:pt idx="13">
                  <c:v>26.443719333925792</c:v>
                </c:pt>
                <c:pt idx="14">
                  <c:v>26.404804278419608</c:v>
                </c:pt>
                <c:pt idx="15">
                  <c:v>26.365889222913424</c:v>
                </c:pt>
                <c:pt idx="16">
                  <c:v>26.32697416740724</c:v>
                </c:pt>
                <c:pt idx="17">
                  <c:v>26.288059111901056</c:v>
                </c:pt>
                <c:pt idx="18">
                  <c:v>26.249144056394872</c:v>
                </c:pt>
                <c:pt idx="19">
                  <c:v>26.210229000888688</c:v>
                </c:pt>
                <c:pt idx="20">
                  <c:v>26.171313945382504</c:v>
                </c:pt>
                <c:pt idx="21">
                  <c:v>26.13239888987632</c:v>
                </c:pt>
                <c:pt idx="22">
                  <c:v>26.093483834370137</c:v>
                </c:pt>
                <c:pt idx="23">
                  <c:v>26.054568778863953</c:v>
                </c:pt>
                <c:pt idx="24">
                  <c:v>26.015653723357769</c:v>
                </c:pt>
                <c:pt idx="25">
                  <c:v>25.976738667851585</c:v>
                </c:pt>
                <c:pt idx="26">
                  <c:v>25.937823612345401</c:v>
                </c:pt>
                <c:pt idx="27">
                  <c:v>25.898908556839217</c:v>
                </c:pt>
                <c:pt idx="28">
                  <c:v>25.859993501333033</c:v>
                </c:pt>
                <c:pt idx="29">
                  <c:v>25.821078445826849</c:v>
                </c:pt>
                <c:pt idx="30">
                  <c:v>25.782163390320665</c:v>
                </c:pt>
                <c:pt idx="31">
                  <c:v>25.743248334814481</c:v>
                </c:pt>
                <c:pt idx="32">
                  <c:v>25.704333279308297</c:v>
                </c:pt>
                <c:pt idx="33">
                  <c:v>25.665418223802114</c:v>
                </c:pt>
                <c:pt idx="34">
                  <c:v>25.62650316829593</c:v>
                </c:pt>
                <c:pt idx="35">
                  <c:v>25.587588112789746</c:v>
                </c:pt>
                <c:pt idx="36">
                  <c:v>25.548673057283562</c:v>
                </c:pt>
                <c:pt idx="37">
                  <c:v>25.509758001777378</c:v>
                </c:pt>
                <c:pt idx="38">
                  <c:v>25.470842946271194</c:v>
                </c:pt>
                <c:pt idx="39">
                  <c:v>25.43192789076501</c:v>
                </c:pt>
                <c:pt idx="40">
                  <c:v>25.393012835258826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82-4243-9378-A096D1A828BE}"/>
            </c:ext>
          </c:extLst>
        </c:ser>
        <c:ser>
          <c:idx val="8"/>
          <c:order val="7"/>
          <c:tx>
            <c:v>linearline1.15t</c:v>
          </c:tx>
          <c:spPr>
            <a:ln w="15875">
              <a:solidFill>
                <a:srgbClr val="FF0000"/>
              </a:solidFill>
              <a:prstDash val="dashDot"/>
            </a:ln>
          </c:spPr>
          <c:marker>
            <c:symbol val="none"/>
          </c:marker>
          <c:xVal>
            <c:numRef>
              <c:f>chart11!$AA$3:$AA$43</c:f>
              <c:numCache>
                <c:formatCode>0.00</c:formatCode>
                <c:ptCount val="41"/>
                <c:pt idx="0">
                  <c:v>0</c:v>
                </c:pt>
                <c:pt idx="1">
                  <c:v>0.57499999999999996</c:v>
                </c:pt>
                <c:pt idx="2">
                  <c:v>1.1499999999999999</c:v>
                </c:pt>
                <c:pt idx="3">
                  <c:v>1.7249999999999999</c:v>
                </c:pt>
                <c:pt idx="4">
                  <c:v>2.2999999999999998</c:v>
                </c:pt>
                <c:pt idx="5">
                  <c:v>2.875</c:v>
                </c:pt>
                <c:pt idx="6">
                  <c:v>3.4499999999999997</c:v>
                </c:pt>
                <c:pt idx="7">
                  <c:v>4.0249999999999995</c:v>
                </c:pt>
                <c:pt idx="8">
                  <c:v>4.5999999999999996</c:v>
                </c:pt>
                <c:pt idx="9">
                  <c:v>5.1749999999999998</c:v>
                </c:pt>
                <c:pt idx="10">
                  <c:v>5.75</c:v>
                </c:pt>
                <c:pt idx="11">
                  <c:v>6.3249999999999993</c:v>
                </c:pt>
                <c:pt idx="12">
                  <c:v>6.8999999999999995</c:v>
                </c:pt>
                <c:pt idx="13">
                  <c:v>7.4749999999999996</c:v>
                </c:pt>
                <c:pt idx="14">
                  <c:v>8.0499999999999989</c:v>
                </c:pt>
                <c:pt idx="15">
                  <c:v>8.625</c:v>
                </c:pt>
                <c:pt idx="16">
                  <c:v>9.1999999999999993</c:v>
                </c:pt>
                <c:pt idx="17">
                  <c:v>9.7749999999999986</c:v>
                </c:pt>
                <c:pt idx="18">
                  <c:v>10.35</c:v>
                </c:pt>
                <c:pt idx="19">
                  <c:v>10.924999999999999</c:v>
                </c:pt>
                <c:pt idx="20">
                  <c:v>11.5</c:v>
                </c:pt>
                <c:pt idx="21">
                  <c:v>12.074999999999999</c:v>
                </c:pt>
                <c:pt idx="22">
                  <c:v>12.649999999999999</c:v>
                </c:pt>
                <c:pt idx="23">
                  <c:v>13.225</c:v>
                </c:pt>
                <c:pt idx="24">
                  <c:v>13.799999999999999</c:v>
                </c:pt>
                <c:pt idx="25">
                  <c:v>14.374999999999998</c:v>
                </c:pt>
                <c:pt idx="26">
                  <c:v>14.95</c:v>
                </c:pt>
                <c:pt idx="27">
                  <c:v>15.524999999999999</c:v>
                </c:pt>
                <c:pt idx="28">
                  <c:v>16.099999999999998</c:v>
                </c:pt>
                <c:pt idx="29">
                  <c:v>16.674999999999997</c:v>
                </c:pt>
                <c:pt idx="30">
                  <c:v>17.25</c:v>
                </c:pt>
                <c:pt idx="31">
                  <c:v>17.824999999999999</c:v>
                </c:pt>
                <c:pt idx="32">
                  <c:v>18.399999999999999</c:v>
                </c:pt>
                <c:pt idx="33">
                  <c:v>18.974999999999998</c:v>
                </c:pt>
                <c:pt idx="34">
                  <c:v>19.549999999999997</c:v>
                </c:pt>
                <c:pt idx="35">
                  <c:v>20.125</c:v>
                </c:pt>
                <c:pt idx="36">
                  <c:v>20.7</c:v>
                </c:pt>
                <c:pt idx="37">
                  <c:v>21.274999999999999</c:v>
                </c:pt>
                <c:pt idx="38">
                  <c:v>21.849999999999998</c:v>
                </c:pt>
                <c:pt idx="39">
                  <c:v>22.424999999999997</c:v>
                </c:pt>
                <c:pt idx="40">
                  <c:v>23</c:v>
                </c:pt>
              </c:numCache>
            </c:numRef>
          </c:xVal>
          <c:yVal>
            <c:numRef>
              <c:f>chart11!$AB$3:$AB$43</c:f>
              <c:numCache>
                <c:formatCode>0.0000</c:formatCode>
                <c:ptCount val="41"/>
                <c:pt idx="0">
                  <c:v>26.949615055506182</c:v>
                </c:pt>
                <c:pt idx="1">
                  <c:v>26.910699999999999</c:v>
                </c:pt>
                <c:pt idx="2">
                  <c:v>26.871784944493815</c:v>
                </c:pt>
                <c:pt idx="3">
                  <c:v>26.832869888987631</c:v>
                </c:pt>
                <c:pt idx="4">
                  <c:v>26.793954833481447</c:v>
                </c:pt>
                <c:pt idx="5">
                  <c:v>26.755039777975263</c:v>
                </c:pt>
                <c:pt idx="6">
                  <c:v>26.716124722469079</c:v>
                </c:pt>
                <c:pt idx="7">
                  <c:v>26.677209666962895</c:v>
                </c:pt>
                <c:pt idx="8">
                  <c:v>26.638294611456711</c:v>
                </c:pt>
                <c:pt idx="9">
                  <c:v>26.599379555950527</c:v>
                </c:pt>
                <c:pt idx="10">
                  <c:v>26.560464500444343</c:v>
                </c:pt>
                <c:pt idx="11">
                  <c:v>26.521549444938159</c:v>
                </c:pt>
                <c:pt idx="12">
                  <c:v>26.482634389431976</c:v>
                </c:pt>
                <c:pt idx="13">
                  <c:v>26.443719333925792</c:v>
                </c:pt>
                <c:pt idx="14">
                  <c:v>26.404804278419608</c:v>
                </c:pt>
                <c:pt idx="15">
                  <c:v>26.365889222913424</c:v>
                </c:pt>
                <c:pt idx="16">
                  <c:v>26.32697416740724</c:v>
                </c:pt>
                <c:pt idx="17">
                  <c:v>26.288059111901056</c:v>
                </c:pt>
                <c:pt idx="18">
                  <c:v>26.249144056394872</c:v>
                </c:pt>
                <c:pt idx="19">
                  <c:v>26.210229000888688</c:v>
                </c:pt>
                <c:pt idx="20">
                  <c:v>26.171313945382504</c:v>
                </c:pt>
                <c:pt idx="21">
                  <c:v>26.13239888987632</c:v>
                </c:pt>
                <c:pt idx="22">
                  <c:v>26.093483834370137</c:v>
                </c:pt>
                <c:pt idx="23">
                  <c:v>26.054568778863953</c:v>
                </c:pt>
                <c:pt idx="24">
                  <c:v>26.015653723357769</c:v>
                </c:pt>
                <c:pt idx="25">
                  <c:v>25.976738667851585</c:v>
                </c:pt>
                <c:pt idx="26">
                  <c:v>25.937823612345401</c:v>
                </c:pt>
                <c:pt idx="27">
                  <c:v>25.898908556839217</c:v>
                </c:pt>
                <c:pt idx="28">
                  <c:v>25.859993501333033</c:v>
                </c:pt>
                <c:pt idx="29">
                  <c:v>25.821078445826849</c:v>
                </c:pt>
                <c:pt idx="30">
                  <c:v>25.782163390320665</c:v>
                </c:pt>
                <c:pt idx="31">
                  <c:v>25.743248334814481</c:v>
                </c:pt>
                <c:pt idx="32">
                  <c:v>25.704333279308297</c:v>
                </c:pt>
                <c:pt idx="33">
                  <c:v>25.665418223802114</c:v>
                </c:pt>
                <c:pt idx="34">
                  <c:v>25.62650316829593</c:v>
                </c:pt>
                <c:pt idx="35">
                  <c:v>25.587588112789746</c:v>
                </c:pt>
                <c:pt idx="36">
                  <c:v>25.548673057283562</c:v>
                </c:pt>
                <c:pt idx="37">
                  <c:v>25.509758001777378</c:v>
                </c:pt>
                <c:pt idx="38">
                  <c:v>25.470842946271194</c:v>
                </c:pt>
                <c:pt idx="39">
                  <c:v>25.43192789076501</c:v>
                </c:pt>
                <c:pt idx="40">
                  <c:v>25.393012835258826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82-4243-9378-A096D1A828BE}"/>
            </c:ext>
          </c:extLst>
        </c:ser>
        <c:ser>
          <c:idx val="7"/>
          <c:order val="8"/>
          <c:tx>
            <c:v>lineartrend</c:v>
          </c:tx>
          <c:spPr>
            <a:ln w="1270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data!$BL$10:$BL$12</c:f>
              <c:numCache>
                <c:formatCode>0.00</c:formatCode>
                <c:ptCount val="3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</c:numCache>
            </c:numRef>
          </c:xVal>
          <c:yVal>
            <c:numRef>
              <c:f>data!$BO$10:$BO$12</c:f>
              <c:numCache>
                <c:formatCode>0.0000</c:formatCode>
                <c:ptCount val="3"/>
                <c:pt idx="0">
                  <c:v>26.955950000000001</c:v>
                </c:pt>
                <c:pt idx="1">
                  <c:v>26.912299999999998</c:v>
                </c:pt>
                <c:pt idx="2">
                  <c:v>26.910699999999999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990-4B19-9BF3-FFBDDD98A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5.49193338482966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55950000000001"/>
          <c:min val="26.89369999999999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data!$D$36:$D$54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8.3666002653407556</c:v>
                </c:pt>
                <c:pt idx="11">
                  <c:v>11.832159566199232</c:v>
                </c:pt>
                <c:pt idx="12">
                  <c:v>14.66287829861518</c:v>
                </c:pt>
              </c:numCache>
            </c:numRef>
          </c:xVal>
          <c:yVal>
            <c:numRef>
              <c:f>data!$G$36:$G$54</c:f>
              <c:numCache>
                <c:formatCode>0.0000</c:formatCode>
                <c:ptCount val="19"/>
                <c:pt idx="0">
                  <c:v>26.950399999999998</c:v>
                </c:pt>
                <c:pt idx="1">
                  <c:v>26.950399999999998</c:v>
                </c:pt>
                <c:pt idx="2">
                  <c:v>26.950399999999998</c:v>
                </c:pt>
                <c:pt idx="3">
                  <c:v>26.95045</c:v>
                </c:pt>
                <c:pt idx="4">
                  <c:v>26.950500000000002</c:v>
                </c:pt>
                <c:pt idx="5">
                  <c:v>26.950600000000001</c:v>
                </c:pt>
                <c:pt idx="6">
                  <c:v>26.95065</c:v>
                </c:pt>
                <c:pt idx="7">
                  <c:v>26.950700000000001</c:v>
                </c:pt>
                <c:pt idx="8">
                  <c:v>26.950749999999999</c:v>
                </c:pt>
                <c:pt idx="9">
                  <c:v>26.950749999999999</c:v>
                </c:pt>
                <c:pt idx="10">
                  <c:v>26.950749999999999</c:v>
                </c:pt>
                <c:pt idx="11">
                  <c:v>26.950749999999999</c:v>
                </c:pt>
                <c:pt idx="12">
                  <c:v>26.950749999999999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D6-4AFD-AEA9-094F64D6E796}"/>
            </c:ext>
          </c:extLst>
        </c:ser>
        <c:ser>
          <c:idx val="1"/>
          <c:order val="1"/>
          <c:spPr>
            <a:ln w="952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chart12!$A$6:$A$7</c:f>
              <c:numCache>
                <c:formatCode>0.00</c:formatCode>
                <c:ptCount val="2"/>
                <c:pt idx="0">
                  <c:v>0</c:v>
                </c:pt>
                <c:pt idx="1">
                  <c:v>10.15</c:v>
                </c:pt>
              </c:numCache>
            </c:numRef>
          </c:xVal>
          <c:yVal>
            <c:numRef>
              <c:f>chart12!$B$6:$B$7</c:f>
              <c:numCache>
                <c:formatCode>0.00</c:formatCode>
                <c:ptCount val="2"/>
                <c:pt idx="0">
                  <c:v>26.998899999999999</c:v>
                </c:pt>
                <c:pt idx="1">
                  <c:v>26.979999999999997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D6-4AFD-AEA9-094F64D6E796}"/>
            </c:ext>
          </c:extLst>
        </c:ser>
        <c:ser>
          <c:idx val="2"/>
          <c:order val="2"/>
          <c:tx>
            <c:v>point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D6-4AFD-AEA9-094F64D6E79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chart12!$C$16</c:f>
              <c:numCache>
                <c:formatCode>0.00</c:formatCode>
                <c:ptCount val="1"/>
                <c:pt idx="0">
                  <c:v>7</c:v>
                </c:pt>
              </c:numCache>
            </c:numRef>
          </c:xVal>
          <c:yVal>
            <c:numRef>
              <c:f>chart12!$D$16</c:f>
              <c:numCache>
                <c:formatCode>0.00</c:formatCode>
                <c:ptCount val="1"/>
                <c:pt idx="0">
                  <c:v>26.986000000000001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D6-4AFD-AEA9-094F64D6E796}"/>
            </c:ext>
          </c:extLst>
        </c:ser>
        <c:ser>
          <c:idx val="3"/>
          <c:order val="3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chart12!$AB$21:$AB$35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chart12!$AC$21:$AC$35</c:f>
              <c:numCache>
                <c:formatCode>0.00</c:formatCode>
                <c:ptCount val="15"/>
                <c:pt idx="0">
                  <c:v>26.984566666666666</c:v>
                </c:pt>
                <c:pt idx="1">
                  <c:v>26.984566666666666</c:v>
                </c:pt>
                <c:pt idx="2">
                  <c:v>26.984566666666666</c:v>
                </c:pt>
                <c:pt idx="3">
                  <c:v>26.984566666666666</c:v>
                </c:pt>
                <c:pt idx="4">
                  <c:v>26.984566666666666</c:v>
                </c:pt>
                <c:pt idx="5">
                  <c:v>26.984566666666666</c:v>
                </c:pt>
                <c:pt idx="6">
                  <c:v>26.984566666666666</c:v>
                </c:pt>
                <c:pt idx="7">
                  <c:v>26.984566666666666</c:v>
                </c:pt>
                <c:pt idx="8">
                  <c:v>26.984566666666666</c:v>
                </c:pt>
                <c:pt idx="9">
                  <c:v>26.984566666666666</c:v>
                </c:pt>
                <c:pt idx="10">
                  <c:v>26.984566666666666</c:v>
                </c:pt>
                <c:pt idx="11">
                  <c:v>26.984566666666666</c:v>
                </c:pt>
                <c:pt idx="12">
                  <c:v>26.984566666666666</c:v>
                </c:pt>
                <c:pt idx="13">
                  <c:v>26.984566666666666</c:v>
                </c:pt>
                <c:pt idx="14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D6-4AFD-AEA9-094F64D6E796}"/>
            </c:ext>
          </c:extLst>
        </c:ser>
        <c:ser>
          <c:idx val="4"/>
          <c:order val="4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chart12!$AB$21:$AB$35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chart12!$AD$21:$AD$35</c:f>
              <c:numCache>
                <c:formatCode>0.00</c:formatCode>
                <c:ptCount val="15"/>
                <c:pt idx="0">
                  <c:v>26.991733333333332</c:v>
                </c:pt>
                <c:pt idx="1">
                  <c:v>26.991733333333332</c:v>
                </c:pt>
                <c:pt idx="2">
                  <c:v>26.991733333333332</c:v>
                </c:pt>
                <c:pt idx="3">
                  <c:v>26.991733333333332</c:v>
                </c:pt>
                <c:pt idx="4">
                  <c:v>26.991733333333332</c:v>
                </c:pt>
                <c:pt idx="5">
                  <c:v>26.991733333333332</c:v>
                </c:pt>
                <c:pt idx="6">
                  <c:v>26.991733333333332</c:v>
                </c:pt>
                <c:pt idx="7">
                  <c:v>26.991733333333332</c:v>
                </c:pt>
                <c:pt idx="8">
                  <c:v>26.991733333333332</c:v>
                </c:pt>
                <c:pt idx="9">
                  <c:v>26.991733333333332</c:v>
                </c:pt>
                <c:pt idx="10">
                  <c:v>26.991733333333332</c:v>
                </c:pt>
                <c:pt idx="11">
                  <c:v>26.991733333333332</c:v>
                </c:pt>
                <c:pt idx="12">
                  <c:v>26.991733333333332</c:v>
                </c:pt>
                <c:pt idx="13">
                  <c:v>26.991733333333332</c:v>
                </c:pt>
                <c:pt idx="14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D6-4AFD-AEA9-094F64D6E796}"/>
            </c:ext>
          </c:extLst>
        </c:ser>
        <c:ser>
          <c:idx val="5"/>
          <c:order val="5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D6-4AFD-AEA9-094F64D6E79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chart12!$A$28</c:f>
              <c:numCache>
                <c:formatCode>0.00</c:formatCode>
                <c:ptCount val="1"/>
                <c:pt idx="0">
                  <c:v>9.67</c:v>
                </c:pt>
              </c:numCache>
            </c:numRef>
          </c:xVal>
          <c:yVal>
            <c:numRef>
              <c:f>chart12!$B$28</c:f>
              <c:numCache>
                <c:formatCode>0.00</c:formatCode>
                <c:ptCount val="1"/>
                <c:pt idx="0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D6-4AFD-AEA9-094F64D6E796}"/>
            </c:ext>
          </c:extLst>
        </c:ser>
        <c:ser>
          <c:idx val="6"/>
          <c:order val="6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D6-4AFD-AEA9-094F64D6E79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chart12!$C$28</c:f>
              <c:numCache>
                <c:formatCode>0.00</c:formatCode>
                <c:ptCount val="1"/>
                <c:pt idx="0">
                  <c:v>3.23</c:v>
                </c:pt>
              </c:numCache>
            </c:numRef>
          </c:xVal>
          <c:yVal>
            <c:numRef>
              <c:f>chart12!$D$28</c:f>
              <c:numCache>
                <c:formatCode>0.00</c:formatCode>
                <c:ptCount val="1"/>
                <c:pt idx="0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D6-4AFD-AEA9-094F64D6E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4.6628782986151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50749999999999"/>
          <c:min val="26.95039999999999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data!$J$36:$J$54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6.6332495807107996</c:v>
                </c:pt>
                <c:pt idx="10">
                  <c:v>7.745966692414834</c:v>
                </c:pt>
                <c:pt idx="11">
                  <c:v>14.7648230602334</c:v>
                </c:pt>
              </c:numCache>
            </c:numRef>
          </c:xVal>
          <c:yVal>
            <c:numRef>
              <c:f>data!$M$36:$M$54</c:f>
              <c:numCache>
                <c:formatCode>0.0000</c:formatCode>
                <c:ptCount val="19"/>
                <c:pt idx="0">
                  <c:v>26.950749999999999</c:v>
                </c:pt>
                <c:pt idx="1">
                  <c:v>26.950749999999999</c:v>
                </c:pt>
                <c:pt idx="2">
                  <c:v>26.950749999999999</c:v>
                </c:pt>
                <c:pt idx="3">
                  <c:v>26.950800000000001</c:v>
                </c:pt>
                <c:pt idx="4">
                  <c:v>26.950949999999999</c:v>
                </c:pt>
                <c:pt idx="5">
                  <c:v>26.951350000000001</c:v>
                </c:pt>
                <c:pt idx="6">
                  <c:v>26.95185</c:v>
                </c:pt>
                <c:pt idx="7">
                  <c:v>26.952249999999999</c:v>
                </c:pt>
                <c:pt idx="8">
                  <c:v>26.952549999999999</c:v>
                </c:pt>
                <c:pt idx="9">
                  <c:v>26.952750000000002</c:v>
                </c:pt>
                <c:pt idx="10">
                  <c:v>26.952850000000002</c:v>
                </c:pt>
                <c:pt idx="11">
                  <c:v>26.952950000000001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E0-46BB-914D-46000B67D9DA}"/>
            </c:ext>
          </c:extLst>
        </c:ser>
        <c:ser>
          <c:idx val="1"/>
          <c:order val="1"/>
          <c:spPr>
            <a:ln w="952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chart13!$A$6:$A$7</c:f>
              <c:numCache>
                <c:formatCode>0.00</c:formatCode>
                <c:ptCount val="2"/>
                <c:pt idx="0">
                  <c:v>0</c:v>
                </c:pt>
                <c:pt idx="1">
                  <c:v>10.15</c:v>
                </c:pt>
              </c:numCache>
            </c:numRef>
          </c:xVal>
          <c:yVal>
            <c:numRef>
              <c:f>chart13!$B$6:$B$7</c:f>
              <c:numCache>
                <c:formatCode>0.00</c:formatCode>
                <c:ptCount val="2"/>
                <c:pt idx="0">
                  <c:v>26.998899999999999</c:v>
                </c:pt>
                <c:pt idx="1">
                  <c:v>26.979999999999997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E0-46BB-914D-46000B67D9DA}"/>
            </c:ext>
          </c:extLst>
        </c:ser>
        <c:ser>
          <c:idx val="2"/>
          <c:order val="2"/>
          <c:tx>
            <c:v>point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E0-46BB-914D-46000B67D9D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chart13!$C$16</c:f>
              <c:numCache>
                <c:formatCode>0.00</c:formatCode>
                <c:ptCount val="1"/>
                <c:pt idx="0">
                  <c:v>7</c:v>
                </c:pt>
              </c:numCache>
            </c:numRef>
          </c:xVal>
          <c:yVal>
            <c:numRef>
              <c:f>chart13!$D$16</c:f>
              <c:numCache>
                <c:formatCode>0.00</c:formatCode>
                <c:ptCount val="1"/>
                <c:pt idx="0">
                  <c:v>26.986000000000001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E0-46BB-914D-46000B67D9DA}"/>
            </c:ext>
          </c:extLst>
        </c:ser>
        <c:ser>
          <c:idx val="3"/>
          <c:order val="3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chart13!$AB$21:$AB$35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chart13!$AC$21:$AC$35</c:f>
              <c:numCache>
                <c:formatCode>0.00</c:formatCode>
                <c:ptCount val="15"/>
                <c:pt idx="0">
                  <c:v>26.984566666666666</c:v>
                </c:pt>
                <c:pt idx="1">
                  <c:v>26.984566666666666</c:v>
                </c:pt>
                <c:pt idx="2">
                  <c:v>26.984566666666666</c:v>
                </c:pt>
                <c:pt idx="3">
                  <c:v>26.984566666666666</c:v>
                </c:pt>
                <c:pt idx="4">
                  <c:v>26.984566666666666</c:v>
                </c:pt>
                <c:pt idx="5">
                  <c:v>26.984566666666666</c:v>
                </c:pt>
                <c:pt idx="6">
                  <c:v>26.984566666666666</c:v>
                </c:pt>
                <c:pt idx="7">
                  <c:v>26.984566666666666</c:v>
                </c:pt>
                <c:pt idx="8">
                  <c:v>26.984566666666666</c:v>
                </c:pt>
                <c:pt idx="9">
                  <c:v>26.984566666666666</c:v>
                </c:pt>
                <c:pt idx="10">
                  <c:v>26.984566666666666</c:v>
                </c:pt>
                <c:pt idx="11">
                  <c:v>26.984566666666666</c:v>
                </c:pt>
                <c:pt idx="12">
                  <c:v>26.984566666666666</c:v>
                </c:pt>
                <c:pt idx="13">
                  <c:v>26.984566666666666</c:v>
                </c:pt>
                <c:pt idx="14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E0-46BB-914D-46000B67D9DA}"/>
            </c:ext>
          </c:extLst>
        </c:ser>
        <c:ser>
          <c:idx val="4"/>
          <c:order val="4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chart13!$AB$21:$AB$35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chart13!$AD$21:$AD$35</c:f>
              <c:numCache>
                <c:formatCode>0.00</c:formatCode>
                <c:ptCount val="15"/>
                <c:pt idx="0">
                  <c:v>26.991733333333332</c:v>
                </c:pt>
                <c:pt idx="1">
                  <c:v>26.991733333333332</c:v>
                </c:pt>
                <c:pt idx="2">
                  <c:v>26.991733333333332</c:v>
                </c:pt>
                <c:pt idx="3">
                  <c:v>26.991733333333332</c:v>
                </c:pt>
                <c:pt idx="4">
                  <c:v>26.991733333333332</c:v>
                </c:pt>
                <c:pt idx="5">
                  <c:v>26.991733333333332</c:v>
                </c:pt>
                <c:pt idx="6">
                  <c:v>26.991733333333332</c:v>
                </c:pt>
                <c:pt idx="7">
                  <c:v>26.991733333333332</c:v>
                </c:pt>
                <c:pt idx="8">
                  <c:v>26.991733333333332</c:v>
                </c:pt>
                <c:pt idx="9">
                  <c:v>26.991733333333332</c:v>
                </c:pt>
                <c:pt idx="10">
                  <c:v>26.991733333333332</c:v>
                </c:pt>
                <c:pt idx="11">
                  <c:v>26.991733333333332</c:v>
                </c:pt>
                <c:pt idx="12">
                  <c:v>26.991733333333332</c:v>
                </c:pt>
                <c:pt idx="13">
                  <c:v>26.991733333333332</c:v>
                </c:pt>
                <c:pt idx="14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E0-46BB-914D-46000B67D9DA}"/>
            </c:ext>
          </c:extLst>
        </c:ser>
        <c:ser>
          <c:idx val="5"/>
          <c:order val="5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E0-46BB-914D-46000B67D9D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chart13!$A$28</c:f>
              <c:numCache>
                <c:formatCode>0.00</c:formatCode>
                <c:ptCount val="1"/>
                <c:pt idx="0">
                  <c:v>9.67</c:v>
                </c:pt>
              </c:numCache>
            </c:numRef>
          </c:xVal>
          <c:yVal>
            <c:numRef>
              <c:f>chart13!$B$28</c:f>
              <c:numCache>
                <c:formatCode>0.00</c:formatCode>
                <c:ptCount val="1"/>
                <c:pt idx="0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E0-46BB-914D-46000B67D9DA}"/>
            </c:ext>
          </c:extLst>
        </c:ser>
        <c:ser>
          <c:idx val="6"/>
          <c:order val="6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E0-46BB-914D-46000B67D9D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chart13!$C$28</c:f>
              <c:numCache>
                <c:formatCode>0.00</c:formatCode>
                <c:ptCount val="1"/>
                <c:pt idx="0">
                  <c:v>3.23</c:v>
                </c:pt>
              </c:numCache>
            </c:numRef>
          </c:xVal>
          <c:yVal>
            <c:numRef>
              <c:f>chart13!$D$28</c:f>
              <c:numCache>
                <c:formatCode>0.00</c:formatCode>
                <c:ptCount val="1"/>
                <c:pt idx="0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E0-46BB-914D-46000B67D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4.7648230602334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52950000000001"/>
          <c:min val="26.95074999999999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data!$P$36:$P$54</c:f>
              <c:numCache>
                <c:formatCode>0.00</c:formatCode>
                <c:ptCount val="19"/>
                <c:pt idx="0">
                  <c:v>0</c:v>
                </c:pt>
                <c:pt idx="1">
                  <c:v>0.2449489742783178</c:v>
                </c:pt>
                <c:pt idx="2">
                  <c:v>0.70710678118654757</c:v>
                </c:pt>
                <c:pt idx="3">
                  <c:v>1</c:v>
                </c:pt>
                <c:pt idx="4">
                  <c:v>1.4142135623730951</c:v>
                </c:pt>
                <c:pt idx="5">
                  <c:v>2</c:v>
                </c:pt>
                <c:pt idx="6">
                  <c:v>2.8284271247461903</c:v>
                </c:pt>
                <c:pt idx="7">
                  <c:v>3.872983346207417</c:v>
                </c:pt>
                <c:pt idx="8">
                  <c:v>5.4772255750516612</c:v>
                </c:pt>
                <c:pt idx="9">
                  <c:v>7.745966692414834</c:v>
                </c:pt>
                <c:pt idx="10">
                  <c:v>10.488088481701515</c:v>
                </c:pt>
                <c:pt idx="11">
                  <c:v>30.495901363953813</c:v>
                </c:pt>
              </c:numCache>
            </c:numRef>
          </c:xVal>
          <c:yVal>
            <c:numRef>
              <c:f>data!$S$36:$S$54</c:f>
              <c:numCache>
                <c:formatCode>0.0000</c:formatCode>
                <c:ptCount val="19"/>
                <c:pt idx="0">
                  <c:v>26.952950000000001</c:v>
                </c:pt>
                <c:pt idx="1">
                  <c:v>26.953050000000001</c:v>
                </c:pt>
                <c:pt idx="2">
                  <c:v>26.953399999999998</c:v>
                </c:pt>
                <c:pt idx="3">
                  <c:v>26.95355</c:v>
                </c:pt>
                <c:pt idx="4">
                  <c:v>26.953849999999999</c:v>
                </c:pt>
                <c:pt idx="5">
                  <c:v>26.954149999999998</c:v>
                </c:pt>
                <c:pt idx="6">
                  <c:v>26.954599999999999</c:v>
                </c:pt>
                <c:pt idx="7">
                  <c:v>26.95495</c:v>
                </c:pt>
                <c:pt idx="8">
                  <c:v>26.955300000000001</c:v>
                </c:pt>
                <c:pt idx="9">
                  <c:v>26.955549999999999</c:v>
                </c:pt>
                <c:pt idx="10">
                  <c:v>26.955649999999999</c:v>
                </c:pt>
                <c:pt idx="11">
                  <c:v>26.955950000000001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83-41F1-8388-240414312780}"/>
            </c:ext>
          </c:extLst>
        </c:ser>
        <c:ser>
          <c:idx val="1"/>
          <c:order val="1"/>
          <c:spPr>
            <a:ln w="952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chart14!$A$6:$A$7</c:f>
              <c:numCache>
                <c:formatCode>0.00</c:formatCode>
                <c:ptCount val="2"/>
                <c:pt idx="0">
                  <c:v>0</c:v>
                </c:pt>
                <c:pt idx="1">
                  <c:v>10.15</c:v>
                </c:pt>
              </c:numCache>
            </c:numRef>
          </c:xVal>
          <c:yVal>
            <c:numRef>
              <c:f>chart14!$B$6:$B$7</c:f>
              <c:numCache>
                <c:formatCode>0.00</c:formatCode>
                <c:ptCount val="2"/>
                <c:pt idx="0">
                  <c:v>26.998899999999999</c:v>
                </c:pt>
                <c:pt idx="1">
                  <c:v>26.979999999999997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83-41F1-8388-240414312780}"/>
            </c:ext>
          </c:extLst>
        </c:ser>
        <c:ser>
          <c:idx val="2"/>
          <c:order val="2"/>
          <c:tx>
            <c:v>point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83-41F1-8388-2404143127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chart14!$C$16</c:f>
              <c:numCache>
                <c:formatCode>0.00</c:formatCode>
                <c:ptCount val="1"/>
                <c:pt idx="0">
                  <c:v>7</c:v>
                </c:pt>
              </c:numCache>
            </c:numRef>
          </c:xVal>
          <c:yVal>
            <c:numRef>
              <c:f>chart14!$D$16</c:f>
              <c:numCache>
                <c:formatCode>0.00</c:formatCode>
                <c:ptCount val="1"/>
                <c:pt idx="0">
                  <c:v>26.986000000000001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83-41F1-8388-240414312780}"/>
            </c:ext>
          </c:extLst>
        </c:ser>
        <c:ser>
          <c:idx val="3"/>
          <c:order val="3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chart14!$AB$21:$AB$35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chart14!$AC$21:$AC$35</c:f>
              <c:numCache>
                <c:formatCode>0.00</c:formatCode>
                <c:ptCount val="15"/>
                <c:pt idx="0">
                  <c:v>26.984566666666666</c:v>
                </c:pt>
                <c:pt idx="1">
                  <c:v>26.984566666666666</c:v>
                </c:pt>
                <c:pt idx="2">
                  <c:v>26.984566666666666</c:v>
                </c:pt>
                <c:pt idx="3">
                  <c:v>26.984566666666666</c:v>
                </c:pt>
                <c:pt idx="4">
                  <c:v>26.984566666666666</c:v>
                </c:pt>
                <c:pt idx="5">
                  <c:v>26.984566666666666</c:v>
                </c:pt>
                <c:pt idx="6">
                  <c:v>26.984566666666666</c:v>
                </c:pt>
                <c:pt idx="7">
                  <c:v>26.984566666666666</c:v>
                </c:pt>
                <c:pt idx="8">
                  <c:v>26.984566666666666</c:v>
                </c:pt>
                <c:pt idx="9">
                  <c:v>26.984566666666666</c:v>
                </c:pt>
                <c:pt idx="10">
                  <c:v>26.984566666666666</c:v>
                </c:pt>
                <c:pt idx="11">
                  <c:v>26.984566666666666</c:v>
                </c:pt>
                <c:pt idx="12">
                  <c:v>26.984566666666666</c:v>
                </c:pt>
                <c:pt idx="13">
                  <c:v>26.984566666666666</c:v>
                </c:pt>
                <c:pt idx="14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83-41F1-8388-240414312780}"/>
            </c:ext>
          </c:extLst>
        </c:ser>
        <c:ser>
          <c:idx val="4"/>
          <c:order val="4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chart14!$AB$21:$AB$35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chart14!$AD$21:$AD$35</c:f>
              <c:numCache>
                <c:formatCode>0.00</c:formatCode>
                <c:ptCount val="15"/>
                <c:pt idx="0">
                  <c:v>26.991733333333332</c:v>
                </c:pt>
                <c:pt idx="1">
                  <c:v>26.991733333333332</c:v>
                </c:pt>
                <c:pt idx="2">
                  <c:v>26.991733333333332</c:v>
                </c:pt>
                <c:pt idx="3">
                  <c:v>26.991733333333332</c:v>
                </c:pt>
                <c:pt idx="4">
                  <c:v>26.991733333333332</c:v>
                </c:pt>
                <c:pt idx="5">
                  <c:v>26.991733333333332</c:v>
                </c:pt>
                <c:pt idx="6">
                  <c:v>26.991733333333332</c:v>
                </c:pt>
                <c:pt idx="7">
                  <c:v>26.991733333333332</c:v>
                </c:pt>
                <c:pt idx="8">
                  <c:v>26.991733333333332</c:v>
                </c:pt>
                <c:pt idx="9">
                  <c:v>26.991733333333332</c:v>
                </c:pt>
                <c:pt idx="10">
                  <c:v>26.991733333333332</c:v>
                </c:pt>
                <c:pt idx="11">
                  <c:v>26.991733333333332</c:v>
                </c:pt>
                <c:pt idx="12">
                  <c:v>26.991733333333332</c:v>
                </c:pt>
                <c:pt idx="13">
                  <c:v>26.991733333333332</c:v>
                </c:pt>
                <c:pt idx="14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983-41F1-8388-240414312780}"/>
            </c:ext>
          </c:extLst>
        </c:ser>
        <c:ser>
          <c:idx val="5"/>
          <c:order val="5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83-41F1-8388-2404143127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chart14!$A$28</c:f>
              <c:numCache>
                <c:formatCode>0.00</c:formatCode>
                <c:ptCount val="1"/>
                <c:pt idx="0">
                  <c:v>9.67</c:v>
                </c:pt>
              </c:numCache>
            </c:numRef>
          </c:xVal>
          <c:yVal>
            <c:numRef>
              <c:f>chart14!$B$28</c:f>
              <c:numCache>
                <c:formatCode>0.00</c:formatCode>
                <c:ptCount val="1"/>
                <c:pt idx="0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983-41F1-8388-240414312780}"/>
            </c:ext>
          </c:extLst>
        </c:ser>
        <c:ser>
          <c:idx val="6"/>
          <c:order val="6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83-41F1-8388-2404143127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chart14!$C$28</c:f>
              <c:numCache>
                <c:formatCode>0.00</c:formatCode>
                <c:ptCount val="1"/>
                <c:pt idx="0">
                  <c:v>3.23</c:v>
                </c:pt>
              </c:numCache>
            </c:numRef>
          </c:xVal>
          <c:yVal>
            <c:numRef>
              <c:f>chart14!$D$28</c:f>
              <c:numCache>
                <c:formatCode>0.00</c:formatCode>
                <c:ptCount val="1"/>
                <c:pt idx="0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983-41F1-8388-240414312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30.495901363953813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55950000000001"/>
          <c:min val="26.95295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data!$V$36:$V$54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  <c:pt idx="11">
                  <c:v>10.723805294763608</c:v>
                </c:pt>
              </c:numCache>
            </c:numRef>
          </c:xVal>
          <c:yVal>
            <c:numRef>
              <c:f>data!$Y$36:$Y$54</c:f>
              <c:numCache>
                <c:formatCode>0.0000</c:formatCode>
                <c:ptCount val="19"/>
                <c:pt idx="0">
                  <c:v>26.955950000000001</c:v>
                </c:pt>
                <c:pt idx="1">
                  <c:v>26.9328</c:v>
                </c:pt>
                <c:pt idx="2">
                  <c:v>26.9313</c:v>
                </c:pt>
                <c:pt idx="3">
                  <c:v>26.9298</c:v>
                </c:pt>
                <c:pt idx="4">
                  <c:v>26.927299999999999</c:v>
                </c:pt>
                <c:pt idx="5">
                  <c:v>26.924600000000002</c:v>
                </c:pt>
                <c:pt idx="6">
                  <c:v>26.91995</c:v>
                </c:pt>
                <c:pt idx="7">
                  <c:v>26.918399999999998</c:v>
                </c:pt>
                <c:pt idx="8">
                  <c:v>26.916350000000001</c:v>
                </c:pt>
                <c:pt idx="9">
                  <c:v>26.914999999999999</c:v>
                </c:pt>
                <c:pt idx="10">
                  <c:v>26.914000000000001</c:v>
                </c:pt>
                <c:pt idx="11">
                  <c:v>26.9133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8D-4418-8FA0-2D937307D567}"/>
            </c:ext>
          </c:extLst>
        </c:ser>
        <c:ser>
          <c:idx val="1"/>
          <c:order val="1"/>
          <c:spPr>
            <a:ln w="952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chart15!$A$6:$A$7</c:f>
              <c:numCache>
                <c:formatCode>0.00</c:formatCode>
                <c:ptCount val="2"/>
                <c:pt idx="0">
                  <c:v>0</c:v>
                </c:pt>
                <c:pt idx="1">
                  <c:v>10.15</c:v>
                </c:pt>
              </c:numCache>
            </c:numRef>
          </c:xVal>
          <c:yVal>
            <c:numRef>
              <c:f>chart15!$B$6:$B$7</c:f>
              <c:numCache>
                <c:formatCode>0.00</c:formatCode>
                <c:ptCount val="2"/>
                <c:pt idx="0">
                  <c:v>26.998899999999999</c:v>
                </c:pt>
                <c:pt idx="1">
                  <c:v>26.979999999999997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8D-4418-8FA0-2D937307D567}"/>
            </c:ext>
          </c:extLst>
        </c:ser>
        <c:ser>
          <c:idx val="2"/>
          <c:order val="2"/>
          <c:tx>
            <c:v>point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8D-4418-8FA0-2D937307D56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chart15!$C$16</c:f>
              <c:numCache>
                <c:formatCode>0.00</c:formatCode>
                <c:ptCount val="1"/>
                <c:pt idx="0">
                  <c:v>7</c:v>
                </c:pt>
              </c:numCache>
            </c:numRef>
          </c:xVal>
          <c:yVal>
            <c:numRef>
              <c:f>chart15!$D$16</c:f>
              <c:numCache>
                <c:formatCode>0.00</c:formatCode>
                <c:ptCount val="1"/>
                <c:pt idx="0">
                  <c:v>26.986000000000001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8D-4418-8FA0-2D937307D567}"/>
            </c:ext>
          </c:extLst>
        </c:ser>
        <c:ser>
          <c:idx val="3"/>
          <c:order val="3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chart15!$AB$21:$AB$35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chart15!$AC$21:$AC$35</c:f>
              <c:numCache>
                <c:formatCode>0.00</c:formatCode>
                <c:ptCount val="15"/>
                <c:pt idx="0">
                  <c:v>26.984566666666666</c:v>
                </c:pt>
                <c:pt idx="1">
                  <c:v>26.984566666666666</c:v>
                </c:pt>
                <c:pt idx="2">
                  <c:v>26.984566666666666</c:v>
                </c:pt>
                <c:pt idx="3">
                  <c:v>26.984566666666666</c:v>
                </c:pt>
                <c:pt idx="4">
                  <c:v>26.984566666666666</c:v>
                </c:pt>
                <c:pt idx="5">
                  <c:v>26.984566666666666</c:v>
                </c:pt>
                <c:pt idx="6">
                  <c:v>26.984566666666666</c:v>
                </c:pt>
                <c:pt idx="7">
                  <c:v>26.984566666666666</c:v>
                </c:pt>
                <c:pt idx="8">
                  <c:v>26.984566666666666</c:v>
                </c:pt>
                <c:pt idx="9">
                  <c:v>26.984566666666666</c:v>
                </c:pt>
                <c:pt idx="10">
                  <c:v>26.984566666666666</c:v>
                </c:pt>
                <c:pt idx="11">
                  <c:v>26.984566666666666</c:v>
                </c:pt>
                <c:pt idx="12">
                  <c:v>26.984566666666666</c:v>
                </c:pt>
                <c:pt idx="13">
                  <c:v>26.984566666666666</c:v>
                </c:pt>
                <c:pt idx="14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8D-4418-8FA0-2D937307D567}"/>
            </c:ext>
          </c:extLst>
        </c:ser>
        <c:ser>
          <c:idx val="4"/>
          <c:order val="4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chart15!$AB$21:$AB$35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chart15!$AD$21:$AD$35</c:f>
              <c:numCache>
                <c:formatCode>0.00</c:formatCode>
                <c:ptCount val="15"/>
                <c:pt idx="0">
                  <c:v>26.991733333333332</c:v>
                </c:pt>
                <c:pt idx="1">
                  <c:v>26.991733333333332</c:v>
                </c:pt>
                <c:pt idx="2">
                  <c:v>26.991733333333332</c:v>
                </c:pt>
                <c:pt idx="3">
                  <c:v>26.991733333333332</c:v>
                </c:pt>
                <c:pt idx="4">
                  <c:v>26.991733333333332</c:v>
                </c:pt>
                <c:pt idx="5">
                  <c:v>26.991733333333332</c:v>
                </c:pt>
                <c:pt idx="6">
                  <c:v>26.991733333333332</c:v>
                </c:pt>
                <c:pt idx="7">
                  <c:v>26.991733333333332</c:v>
                </c:pt>
                <c:pt idx="8">
                  <c:v>26.991733333333332</c:v>
                </c:pt>
                <c:pt idx="9">
                  <c:v>26.991733333333332</c:v>
                </c:pt>
                <c:pt idx="10">
                  <c:v>26.991733333333332</c:v>
                </c:pt>
                <c:pt idx="11">
                  <c:v>26.991733333333332</c:v>
                </c:pt>
                <c:pt idx="12">
                  <c:v>26.991733333333332</c:v>
                </c:pt>
                <c:pt idx="13">
                  <c:v>26.991733333333332</c:v>
                </c:pt>
                <c:pt idx="14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C8D-4418-8FA0-2D937307D567}"/>
            </c:ext>
          </c:extLst>
        </c:ser>
        <c:ser>
          <c:idx val="5"/>
          <c:order val="5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8D-4418-8FA0-2D937307D56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chart15!$A$28</c:f>
              <c:numCache>
                <c:formatCode>0.00</c:formatCode>
                <c:ptCount val="1"/>
                <c:pt idx="0">
                  <c:v>9.67</c:v>
                </c:pt>
              </c:numCache>
            </c:numRef>
          </c:xVal>
          <c:yVal>
            <c:numRef>
              <c:f>chart15!$B$28</c:f>
              <c:numCache>
                <c:formatCode>0.00</c:formatCode>
                <c:ptCount val="1"/>
                <c:pt idx="0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C8D-4418-8FA0-2D937307D567}"/>
            </c:ext>
          </c:extLst>
        </c:ser>
        <c:ser>
          <c:idx val="6"/>
          <c:order val="6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8D-4418-8FA0-2D937307D56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chart15!$C$28</c:f>
              <c:numCache>
                <c:formatCode>0.00</c:formatCode>
                <c:ptCount val="1"/>
                <c:pt idx="0">
                  <c:v>3.23</c:v>
                </c:pt>
              </c:numCache>
            </c:numRef>
          </c:xVal>
          <c:yVal>
            <c:numRef>
              <c:f>chart15!$D$28</c:f>
              <c:numCache>
                <c:formatCode>0.00</c:formatCode>
                <c:ptCount val="1"/>
                <c:pt idx="0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C8D-4418-8FA0-2D937307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0.72380529476360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6.95595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Arial"/>
                <a:cs typeface="+mj-cs"/>
              </a:defRPr>
            </a:pPr>
            <a:r>
              <a:rPr lang="en-US" b="0">
                <a:latin typeface="Arial" panose="020B0604020202020204" pitchFamily="34" charset="0"/>
                <a:cs typeface="+mj-cs"/>
              </a:rPr>
              <a:t>0.25 kg/cm</a:t>
            </a:r>
            <a:r>
              <a:rPr lang="en-US" b="0" baseline="30000">
                <a:latin typeface="Arial" panose="020B0604020202020204" pitchFamily="34" charset="0"/>
                <a:cs typeface="+mj-cs"/>
              </a:rPr>
              <a:t>2</a:t>
            </a:r>
          </a:p>
        </c:rich>
      </c:tx>
      <c:layout>
        <c:manualLayout>
          <c:xMode val="edge"/>
          <c:yMode val="edge"/>
          <c:x val="0.47099781918466505"/>
          <c:y val="3.4384102501767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53132250580047"/>
          <c:y val="0.14613200960894074"/>
          <c:w val="0.80510440835266817"/>
          <c:h val="0.676218711131568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data!$AB$36:$AB$54</c:f>
              <c:numCache>
                <c:formatCode>0.00</c:formatCode>
                <c:ptCount val="19"/>
                <c:pt idx="0">
                  <c:v>0</c:v>
                </c:pt>
                <c:pt idx="1">
                  <c:v>0.31622776601683794</c:v>
                </c:pt>
                <c:pt idx="2">
                  <c:v>0.5</c:v>
                </c:pt>
                <c:pt idx="3">
                  <c:v>0.70710678118654757</c:v>
                </c:pt>
                <c:pt idx="4">
                  <c:v>1</c:v>
                </c:pt>
                <c:pt idx="5">
                  <c:v>1.4142135623730951</c:v>
                </c:pt>
                <c:pt idx="6">
                  <c:v>2</c:v>
                </c:pt>
                <c:pt idx="7">
                  <c:v>2.8284271247461903</c:v>
                </c:pt>
                <c:pt idx="8">
                  <c:v>3.872983346207417</c:v>
                </c:pt>
                <c:pt idx="9">
                  <c:v>5.4772255750516612</c:v>
                </c:pt>
                <c:pt idx="10">
                  <c:v>7.745966692414834</c:v>
                </c:pt>
                <c:pt idx="11">
                  <c:v>10.723805294763608</c:v>
                </c:pt>
              </c:numCache>
            </c:numRef>
          </c:xVal>
          <c:yVal>
            <c:numRef>
              <c:f>data!$AE$36:$AE$54</c:f>
              <c:numCache>
                <c:formatCode>0.0000</c:formatCode>
                <c:ptCount val="19"/>
                <c:pt idx="0">
                  <c:v>26.955950000000001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6-426D-9E96-B003829E9F98}"/>
            </c:ext>
          </c:extLst>
        </c:ser>
        <c:ser>
          <c:idx val="1"/>
          <c:order val="1"/>
          <c:spPr>
            <a:ln w="952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chart16!$A$6:$A$7</c:f>
              <c:numCache>
                <c:formatCode>0.00</c:formatCode>
                <c:ptCount val="2"/>
                <c:pt idx="0">
                  <c:v>0</c:v>
                </c:pt>
                <c:pt idx="1">
                  <c:v>10.15</c:v>
                </c:pt>
              </c:numCache>
            </c:numRef>
          </c:xVal>
          <c:yVal>
            <c:numRef>
              <c:f>chart16!$B$6:$B$7</c:f>
              <c:numCache>
                <c:formatCode>0.00</c:formatCode>
                <c:ptCount val="2"/>
                <c:pt idx="0">
                  <c:v>26.998899999999999</c:v>
                </c:pt>
                <c:pt idx="1">
                  <c:v>26.979999999999997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6-426D-9E96-B003829E9F98}"/>
            </c:ext>
          </c:extLst>
        </c:ser>
        <c:ser>
          <c:idx val="2"/>
          <c:order val="2"/>
          <c:tx>
            <c:v>point</c:v>
          </c:tx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8184892897406989E-2"/>
                  <c:y val="-4.28816466552315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9DD6-426D-9E96-B003829E9F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chart16!$C$16</c:f>
              <c:numCache>
                <c:formatCode>0.00</c:formatCode>
                <c:ptCount val="1"/>
                <c:pt idx="0">
                  <c:v>7</c:v>
                </c:pt>
              </c:numCache>
            </c:numRef>
          </c:xVal>
          <c:yVal>
            <c:numRef>
              <c:f>chart16!$D$16</c:f>
              <c:numCache>
                <c:formatCode>0.00</c:formatCode>
                <c:ptCount val="1"/>
                <c:pt idx="0">
                  <c:v>26.986000000000001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D6-426D-9E96-B003829E9F98}"/>
            </c:ext>
          </c:extLst>
        </c:ser>
        <c:ser>
          <c:idx val="3"/>
          <c:order val="3"/>
          <c:tx>
            <c:v>d100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chart16!$AB$21:$AB$35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chart16!$AC$21:$AC$35</c:f>
              <c:numCache>
                <c:formatCode>0.00</c:formatCode>
                <c:ptCount val="15"/>
                <c:pt idx="0">
                  <c:v>26.984566666666666</c:v>
                </c:pt>
                <c:pt idx="1">
                  <c:v>26.984566666666666</c:v>
                </c:pt>
                <c:pt idx="2">
                  <c:v>26.984566666666666</c:v>
                </c:pt>
                <c:pt idx="3">
                  <c:v>26.984566666666666</c:v>
                </c:pt>
                <c:pt idx="4">
                  <c:v>26.984566666666666</c:v>
                </c:pt>
                <c:pt idx="5">
                  <c:v>26.984566666666666</c:v>
                </c:pt>
                <c:pt idx="6">
                  <c:v>26.984566666666666</c:v>
                </c:pt>
                <c:pt idx="7">
                  <c:v>26.984566666666666</c:v>
                </c:pt>
                <c:pt idx="8">
                  <c:v>26.984566666666666</c:v>
                </c:pt>
                <c:pt idx="9">
                  <c:v>26.984566666666666</c:v>
                </c:pt>
                <c:pt idx="10">
                  <c:v>26.984566666666666</c:v>
                </c:pt>
                <c:pt idx="11">
                  <c:v>26.984566666666666</c:v>
                </c:pt>
                <c:pt idx="12">
                  <c:v>26.984566666666666</c:v>
                </c:pt>
                <c:pt idx="13">
                  <c:v>26.984566666666666</c:v>
                </c:pt>
                <c:pt idx="14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DD6-426D-9E96-B003829E9F98}"/>
            </c:ext>
          </c:extLst>
        </c:ser>
        <c:ser>
          <c:idx val="4"/>
          <c:order val="4"/>
          <c:tx>
            <c:v>d50</c:v>
          </c:tx>
          <c:spPr>
            <a:ln w="9525">
              <a:solidFill>
                <a:schemeClr val="bg2">
                  <a:lumMod val="1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chart16!$AB$21:$AB$35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chart16!$AD$21:$AD$35</c:f>
              <c:numCache>
                <c:formatCode>0.00</c:formatCode>
                <c:ptCount val="15"/>
                <c:pt idx="0">
                  <c:v>26.991733333333332</c:v>
                </c:pt>
                <c:pt idx="1">
                  <c:v>26.991733333333332</c:v>
                </c:pt>
                <c:pt idx="2">
                  <c:v>26.991733333333332</c:v>
                </c:pt>
                <c:pt idx="3">
                  <c:v>26.991733333333332</c:v>
                </c:pt>
                <c:pt idx="4">
                  <c:v>26.991733333333332</c:v>
                </c:pt>
                <c:pt idx="5">
                  <c:v>26.991733333333332</c:v>
                </c:pt>
                <c:pt idx="6">
                  <c:v>26.991733333333332</c:v>
                </c:pt>
                <c:pt idx="7">
                  <c:v>26.991733333333332</c:v>
                </c:pt>
                <c:pt idx="8">
                  <c:v>26.991733333333332</c:v>
                </c:pt>
                <c:pt idx="9">
                  <c:v>26.991733333333332</c:v>
                </c:pt>
                <c:pt idx="10">
                  <c:v>26.991733333333332</c:v>
                </c:pt>
                <c:pt idx="11">
                  <c:v>26.991733333333332</c:v>
                </c:pt>
                <c:pt idx="12">
                  <c:v>26.991733333333332</c:v>
                </c:pt>
                <c:pt idx="13">
                  <c:v>26.991733333333332</c:v>
                </c:pt>
                <c:pt idx="14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DD6-426D-9E96-B003829E9F98}"/>
            </c:ext>
          </c:extLst>
        </c:ser>
        <c:ser>
          <c:idx val="5"/>
          <c:order val="5"/>
          <c:tx>
            <c:v>pointd100</c:v>
          </c:tx>
          <c:marker>
            <c:symbol val="circle"/>
            <c:size val="4"/>
          </c:marker>
          <c:dLbls>
            <c:dLbl>
              <c:idx val="0"/>
              <c:layout>
                <c:manualLayout>
                  <c:x val="4.3216835776024087E-2"/>
                  <c:y val="2.85877644368210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DD6-426D-9E96-B003829E9F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chart16!$A$28</c:f>
              <c:numCache>
                <c:formatCode>0.00</c:formatCode>
                <c:ptCount val="1"/>
                <c:pt idx="0">
                  <c:v>9.67</c:v>
                </c:pt>
              </c:numCache>
            </c:numRef>
          </c:xVal>
          <c:yVal>
            <c:numRef>
              <c:f>chart16!$B$28</c:f>
              <c:numCache>
                <c:formatCode>0.00</c:formatCode>
                <c:ptCount val="1"/>
                <c:pt idx="0">
                  <c:v>26.984566666666666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DD6-426D-9E96-B003829E9F98}"/>
            </c:ext>
          </c:extLst>
        </c:ser>
        <c:ser>
          <c:idx val="6"/>
          <c:order val="6"/>
          <c:tx>
            <c:v>pointd50</c:v>
          </c:tx>
          <c:marker>
            <c:symbol val="circle"/>
            <c:size val="4"/>
            <c:spPr>
              <a:solidFill>
                <a:srgbClr val="FF0000"/>
              </a:solidFill>
            </c:spPr>
          </c:marker>
          <c:dLbls>
            <c:dLbl>
              <c:idx val="0"/>
              <c:layout>
                <c:manualLayout>
                  <c:x val="3.5700864336715522E-2"/>
                  <c:y val="-5.145797598627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9DD6-426D-9E96-B003829E9F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chart16!$C$28</c:f>
              <c:numCache>
                <c:formatCode>0.00</c:formatCode>
                <c:ptCount val="1"/>
                <c:pt idx="0">
                  <c:v>3.23</c:v>
                </c:pt>
              </c:numCache>
            </c:numRef>
          </c:xVal>
          <c:yVal>
            <c:numRef>
              <c:f>chart16!$D$28</c:f>
              <c:numCache>
                <c:formatCode>0.00</c:formatCode>
                <c:ptCount val="1"/>
                <c:pt idx="0">
                  <c:v>26.991733333333332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DD6-426D-9E96-B003829E9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923231"/>
        <c:axId val="1"/>
      </c:scatterChart>
      <c:valAx>
        <c:axId val="933923231"/>
        <c:scaling>
          <c:orientation val="minMax"/>
          <c:max val="10.72380529476360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>
                    <a:latin typeface="Arial" panose="020B0604020202020204" pitchFamily="34" charset="0"/>
                    <a:cs typeface="+mj-cs"/>
                  </a:rPr>
                  <a:t>√t (min)</a:t>
                </a:r>
              </a:p>
            </c:rich>
          </c:tx>
          <c:layout>
            <c:manualLayout>
              <c:xMode val="edge"/>
              <c:yMode val="edge"/>
              <c:x val="0.45219220765386287"/>
              <c:y val="0.89113801812509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1"/>
        <c:crossesAt val="19.2"/>
        <c:crossBetween val="midCat"/>
        <c:majorUnit val="5"/>
      </c:valAx>
      <c:valAx>
        <c:axId val="1"/>
        <c:scaling>
          <c:orientation val="minMax"/>
          <c:max val="27"/>
          <c:min val="26.95595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+mj-cs"/>
                  </a:defRPr>
                </a:pPr>
                <a:r>
                  <a:rPr lang="en-US" sz="1100" b="0">
                    <a:latin typeface="Arial" panose="020B0604020202020204" pitchFamily="34" charset="0"/>
                    <a:cs typeface="+mj-cs"/>
                  </a:rPr>
                  <a:t>dial reading (mm)</a:t>
                </a:r>
              </a:p>
            </c:rich>
          </c:tx>
          <c:layout>
            <c:manualLayout>
              <c:xMode val="edge"/>
              <c:yMode val="edge"/>
              <c:x val="3.8067359674741896E-2"/>
              <c:y val="0.346987479909779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a-IR"/>
          </a:p>
        </c:txPr>
        <c:crossAx val="933923231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a-IR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C$32" lockText="1" noThreeD="1"/>
</file>

<file path=xl/ctrlProps/ctrlProp2.xml><?xml version="1.0" encoding="utf-8"?>
<formControlPr xmlns="http://schemas.microsoft.com/office/spreadsheetml/2009/9/main" objectType="CheckBox" checked="Checked" fmlaLink="$I$32" lockText="1" noThreeD="1"/>
</file>

<file path=xl/ctrlProps/ctrlProp3.xml><?xml version="1.0" encoding="utf-8"?>
<formControlPr xmlns="http://schemas.microsoft.com/office/spreadsheetml/2009/9/main" objectType="CheckBox" checked="Checked" fmlaLink="$O$32" lockText="1" noThreeD="1"/>
</file>

<file path=xl/ctrlProps/ctrlProp4.xml><?xml version="1.0" encoding="utf-8"?>
<formControlPr xmlns="http://schemas.microsoft.com/office/spreadsheetml/2009/9/main" objectType="CheckBox" fmlaLink="$U$32" lockText="1" noThreeD="1"/>
</file>

<file path=xl/ctrlProps/ctrlProp5.xml><?xml version="1.0" encoding="utf-8"?>
<formControlPr xmlns="http://schemas.microsoft.com/office/spreadsheetml/2009/9/main" objectType="CheckBox" fmlaLink="$AA$32" lockText="1" noThreeD="1"/>
</file>

<file path=xl/ctrlProps/ctrlProp6.xml><?xml version="1.0" encoding="utf-8"?>
<formControlPr xmlns="http://schemas.microsoft.com/office/spreadsheetml/2009/9/main" objectType="Scroll" dx="26" fmlaLink="$E$12" horiz="1" max="1000" page="10" val="23"/>
</file>

<file path=xl/ctrlProps/ctrlProp7.xml><?xml version="1.0" encoding="utf-8"?>
<formControlPr xmlns="http://schemas.microsoft.com/office/spreadsheetml/2009/9/main" objectType="Scroll" dx="26" fmlaLink="$D$12" horiz="1" max="1000" page="10" val="12"/>
</file>

<file path=xl/ctrlProps/ctrlProp8.xml><?xml version="1.0" encoding="utf-8"?>
<formControlPr xmlns="http://schemas.microsoft.com/office/spreadsheetml/2009/9/main" objectType="Scroll" dx="26" fmlaLink="$E$12" horiz="1" max="1000" page="10" val="9"/>
</file>

<file path=xl/ctrlProps/ctrlProp9.xml><?xml version="1.0" encoding="utf-8"?>
<formControlPr xmlns="http://schemas.microsoft.com/office/spreadsheetml/2009/9/main" objectType="Scroll" dx="26" fmlaLink="$D$12" horiz="1" max="1000" page="10" val="12"/>
</file>

<file path=xl/ctrlProps/ctrlProp10.xml><?xml version="1.0" encoding="utf-8"?>
<formControlPr xmlns="http://schemas.microsoft.com/office/spreadsheetml/2009/9/main" objectType="Scroll" dx="26" fmlaLink="$E$12" horiz="1" max="1000" page="10" val="9"/>
</file>

<file path=xl/ctrlProps/ctrlProp11.xml><?xml version="1.0" encoding="utf-8"?>
<formControlPr xmlns="http://schemas.microsoft.com/office/spreadsheetml/2009/9/main" objectType="Scroll" dx="26" fmlaLink="$D$12" horiz="1" max="1000" page="10" val="12"/>
</file>

<file path=xl/ctrlProps/ctrlProp12.xml><?xml version="1.0" encoding="utf-8"?>
<formControlPr xmlns="http://schemas.microsoft.com/office/spreadsheetml/2009/9/main" objectType="Scroll" dx="26" fmlaLink="$E$12" horiz="1" max="1000" page="10" val="9"/>
</file>

<file path=xl/ctrlProps/ctrlProp13.xml><?xml version="1.0" encoding="utf-8"?>
<formControlPr xmlns="http://schemas.microsoft.com/office/spreadsheetml/2009/9/main" objectType="Scroll" dx="26" fmlaLink="$D$12" horiz="1" max="1000" page="10" val="12"/>
</file>

<file path=xl/ctrlProps/ctrlProp14.xml><?xml version="1.0" encoding="utf-8"?>
<formControlPr xmlns="http://schemas.microsoft.com/office/spreadsheetml/2009/9/main" objectType="Scroll" dx="26" fmlaLink="$E$12" horiz="1" max="1000" page="10" val="0"/>
</file>

<file path=xl/ctrlProps/ctrlProp15.xml><?xml version="1.0" encoding="utf-8"?>
<formControlPr xmlns="http://schemas.microsoft.com/office/spreadsheetml/2009/9/main" objectType="Scroll" dx="26" fmlaLink="$D$12" horiz="1" max="1000" page="10" val="3"/>
</file>

<file path=xl/ctrlProps/ctrlProp16.xml><?xml version="1.0" encoding="utf-8"?>
<formControlPr xmlns="http://schemas.microsoft.com/office/spreadsheetml/2009/9/main" objectType="Scroll" dx="26" fmlaLink="$E$12" horiz="1" max="1000" page="10" val="0"/>
</file>

<file path=xl/ctrlProps/ctrlProp17.xml><?xml version="1.0" encoding="utf-8"?>
<formControlPr xmlns="http://schemas.microsoft.com/office/spreadsheetml/2009/9/main" objectType="Scroll" dx="26" fmlaLink="$D$12" horiz="1" max="1000" page="10" val="10"/>
</file>

<file path=xl/ctrlProps/ctrlProp18.xml><?xml version="1.0" encoding="utf-8"?>
<formControlPr xmlns="http://schemas.microsoft.com/office/spreadsheetml/2009/9/main" objectType="Scroll" dx="26" fmlaLink="$E$12" horiz="1" max="1000" page="10" val="4"/>
</file>

<file path=xl/ctrlProps/ctrlProp19.xml><?xml version="1.0" encoding="utf-8"?>
<formControlPr xmlns="http://schemas.microsoft.com/office/spreadsheetml/2009/9/main" objectType="Scroll" dx="26" fmlaLink="$D$12" horiz="1" max="1000" page="10" val="5"/>
</file>

<file path=xl/ctrlProps/ctrlProp20.xml><?xml version="1.0" encoding="utf-8"?>
<formControlPr xmlns="http://schemas.microsoft.com/office/spreadsheetml/2009/9/main" objectType="Scroll" dx="26" fmlaLink="$E$12" horiz="1" max="1000" page="10" val="9"/>
</file>

<file path=xl/ctrlProps/ctrlProp21.xml><?xml version="1.0" encoding="utf-8"?>
<formControlPr xmlns="http://schemas.microsoft.com/office/spreadsheetml/2009/9/main" objectType="Scroll" dx="26" fmlaLink="$D$12" horiz="1" max="1000" page="10" val="12"/>
</file>

<file path=xl/ctrlProps/ctrlProp22.xml><?xml version="1.0" encoding="utf-8"?>
<formControlPr xmlns="http://schemas.microsoft.com/office/spreadsheetml/2009/9/main" objectType="Scroll" dx="26" fmlaLink="$E$12" horiz="1" max="1000" page="10" val="9"/>
</file>

<file path=xl/ctrlProps/ctrlProp23.xml><?xml version="1.0" encoding="utf-8"?>
<formControlPr xmlns="http://schemas.microsoft.com/office/spreadsheetml/2009/9/main" objectType="Scroll" dx="26" fmlaLink="$D$12" horiz="1" max="1000" page="10" val="12"/>
</file>

<file path=xl/ctrlProps/ctrlProp24.xml><?xml version="1.0" encoding="utf-8"?>
<formControlPr xmlns="http://schemas.microsoft.com/office/spreadsheetml/2009/9/main" objectType="Scroll" dx="26" fmlaLink="$E$12" horiz="1" max="1000" page="10" val="9"/>
</file>

<file path=xl/ctrlProps/ctrlProp25.xml><?xml version="1.0" encoding="utf-8"?>
<formControlPr xmlns="http://schemas.microsoft.com/office/spreadsheetml/2009/9/main" objectType="Scroll" dx="26" fmlaLink="$D$12" horiz="1" max="1000" page="10" val="12"/>
</file>

<file path=xl/ctrlProps/ctrlProp26.xml><?xml version="1.0" encoding="utf-8"?>
<formControlPr xmlns="http://schemas.microsoft.com/office/spreadsheetml/2009/9/main" objectType="Scroll" dx="26" fmlaLink="$E$12" horiz="1" max="1000" page="10" val="9"/>
</file>

<file path=xl/ctrlProps/ctrlProp27.xml><?xml version="1.0" encoding="utf-8"?>
<formControlPr xmlns="http://schemas.microsoft.com/office/spreadsheetml/2009/9/main" objectType="Scroll" dx="26" fmlaLink="$D$12" horiz="1" max="1000" page="10" val="12"/>
</file>

<file path=xl/ctrlProps/ctrlProp28.xml><?xml version="1.0" encoding="utf-8"?>
<formControlPr xmlns="http://schemas.microsoft.com/office/spreadsheetml/2009/9/main" objectType="Scroll" dx="26" fmlaLink="$G$10" horiz="1" max="1000" page="10" val="8"/>
</file>

<file path=xl/ctrlProps/ctrlProp29.xml><?xml version="1.0" encoding="utf-8"?>
<formControlPr xmlns="http://schemas.microsoft.com/office/spreadsheetml/2009/9/main" objectType="Scroll" dx="26" fmlaLink="$F$10" horiz="1" max="1000" noThreeD="1" page="10" val="615"/>
</file>

<file path=xl/ctrlProps/ctrlProp30.xml><?xml version="1.0" encoding="utf-8"?>
<formControlPr xmlns="http://schemas.microsoft.com/office/spreadsheetml/2009/9/main" objectType="Scroll" dx="26" fmlaLink="$G$19" horiz="1" max="1000" page="10" val="0"/>
</file>

<file path=xl/ctrlProps/ctrlProp31.xml><?xml version="1.0" encoding="utf-8"?>
<formControlPr xmlns="http://schemas.microsoft.com/office/spreadsheetml/2009/9/main" objectType="Scroll" dx="26" fmlaLink="$F$19" horiz="1" max="1000" page="10" val="0"/>
</file>

<file path=xl/ctrlProps/ctrlProp32.xml><?xml version="1.0" encoding="utf-8"?>
<formControlPr xmlns="http://schemas.microsoft.com/office/spreadsheetml/2009/9/main" objectType="Scroll" dx="26" fmlaLink="$G$28" horiz="1" max="1000" page="10" val="3"/>
</file>

<file path=xl/ctrlProps/ctrlProp33.xml><?xml version="1.0" encoding="utf-8"?>
<formControlPr xmlns="http://schemas.microsoft.com/office/spreadsheetml/2009/9/main" objectType="Scroll" dx="26" fmlaLink="$F$28" horiz="1" max="1000" page="10" val="317"/>
</file>

<file path=xl/ctrlProps/ctrlProp34.xml><?xml version="1.0" encoding="utf-8"?>
<formControlPr xmlns="http://schemas.microsoft.com/office/spreadsheetml/2009/9/main" objectType="Scroll" dx="26" fmlaLink="$G$4" horiz="1" max="1000" page="10" val="9"/>
</file>

<file path=xl/ctrlProps/ctrlProp35.xml><?xml version="1.0" encoding="utf-8"?>
<formControlPr xmlns="http://schemas.microsoft.com/office/spreadsheetml/2009/9/main" objectType="Scroll" dx="26" fmlaLink="$F$4" horiz="1" max="1000" noThreeD="1" page="10" val="0"/>
</file>

<file path=xl/ctrlProps/ctrlProp36.xml><?xml version="1.0" encoding="utf-8"?>
<formControlPr xmlns="http://schemas.microsoft.com/office/spreadsheetml/2009/9/main" objectType="Scroll" dx="26" fmlaLink="$G$10" horiz="1" max="1000" page="10" val="8"/>
</file>

<file path=xl/ctrlProps/ctrlProp37.xml><?xml version="1.0" encoding="utf-8"?>
<formControlPr xmlns="http://schemas.microsoft.com/office/spreadsheetml/2009/9/main" objectType="Scroll" dx="26" fmlaLink="$F$10" horiz="1" max="1000" noThreeD="1" page="10" val="615"/>
</file>

<file path=xl/ctrlProps/ctrlProp38.xml><?xml version="1.0" encoding="utf-8"?>
<formControlPr xmlns="http://schemas.microsoft.com/office/spreadsheetml/2009/9/main" objectType="Scroll" dx="26" fmlaLink="$G$19" horiz="1" max="1000" page="10" val="0"/>
</file>

<file path=xl/ctrlProps/ctrlProp39.xml><?xml version="1.0" encoding="utf-8"?>
<formControlPr xmlns="http://schemas.microsoft.com/office/spreadsheetml/2009/9/main" objectType="Scroll" dx="26" fmlaLink="$F$19" horiz="1" max="1000" page="10" val="0"/>
</file>

<file path=xl/ctrlProps/ctrlProp40.xml><?xml version="1.0" encoding="utf-8"?>
<formControlPr xmlns="http://schemas.microsoft.com/office/spreadsheetml/2009/9/main" objectType="Scroll" dx="26" fmlaLink="$G$28" horiz="1" max="1000" page="10" val="3"/>
</file>

<file path=xl/ctrlProps/ctrlProp41.xml><?xml version="1.0" encoding="utf-8"?>
<formControlPr xmlns="http://schemas.microsoft.com/office/spreadsheetml/2009/9/main" objectType="Scroll" dx="26" fmlaLink="$F$28" horiz="1" max="1000" page="10" val="317"/>
</file>

<file path=xl/ctrlProps/ctrlProp42.xml><?xml version="1.0" encoding="utf-8"?>
<formControlPr xmlns="http://schemas.microsoft.com/office/spreadsheetml/2009/9/main" objectType="Scroll" dx="26" fmlaLink="$G$4" horiz="1" max="1000" page="10" val="9"/>
</file>

<file path=xl/ctrlProps/ctrlProp43.xml><?xml version="1.0" encoding="utf-8"?>
<formControlPr xmlns="http://schemas.microsoft.com/office/spreadsheetml/2009/9/main" objectType="Scroll" dx="26" fmlaLink="$F$4" horiz="1" max="1000" noThreeD="1" page="10" val="0"/>
</file>

<file path=xl/ctrlProps/ctrlProp44.xml><?xml version="1.0" encoding="utf-8"?>
<formControlPr xmlns="http://schemas.microsoft.com/office/spreadsheetml/2009/9/main" objectType="Scroll" dx="26" fmlaLink="$G$10" horiz="1" max="1000" page="10" val="8"/>
</file>

<file path=xl/ctrlProps/ctrlProp45.xml><?xml version="1.0" encoding="utf-8"?>
<formControlPr xmlns="http://schemas.microsoft.com/office/spreadsheetml/2009/9/main" objectType="Scroll" dx="26" fmlaLink="$F$10" horiz="1" max="1000" noThreeD="1" page="10" val="615"/>
</file>

<file path=xl/ctrlProps/ctrlProp46.xml><?xml version="1.0" encoding="utf-8"?>
<formControlPr xmlns="http://schemas.microsoft.com/office/spreadsheetml/2009/9/main" objectType="Scroll" dx="26" fmlaLink="$G$19" horiz="1" max="1000" page="10" val="0"/>
</file>

<file path=xl/ctrlProps/ctrlProp47.xml><?xml version="1.0" encoding="utf-8"?>
<formControlPr xmlns="http://schemas.microsoft.com/office/spreadsheetml/2009/9/main" objectType="Scroll" dx="26" fmlaLink="$F$19" horiz="1" max="1000" page="10" val="0"/>
</file>

<file path=xl/ctrlProps/ctrlProp48.xml><?xml version="1.0" encoding="utf-8"?>
<formControlPr xmlns="http://schemas.microsoft.com/office/spreadsheetml/2009/9/main" objectType="Scroll" dx="26" fmlaLink="$G$28" horiz="1" max="1000" page="10" val="3"/>
</file>

<file path=xl/ctrlProps/ctrlProp49.xml><?xml version="1.0" encoding="utf-8"?>
<formControlPr xmlns="http://schemas.microsoft.com/office/spreadsheetml/2009/9/main" objectType="Scroll" dx="26" fmlaLink="$F$28" horiz="1" max="1000" page="10" val="317"/>
</file>

<file path=xl/ctrlProps/ctrlProp50.xml><?xml version="1.0" encoding="utf-8"?>
<formControlPr xmlns="http://schemas.microsoft.com/office/spreadsheetml/2009/9/main" objectType="Scroll" dx="26" fmlaLink="$G$4" horiz="1" max="1000" page="10" val="9"/>
</file>

<file path=xl/ctrlProps/ctrlProp51.xml><?xml version="1.0" encoding="utf-8"?>
<formControlPr xmlns="http://schemas.microsoft.com/office/spreadsheetml/2009/9/main" objectType="Scroll" dx="26" fmlaLink="$F$4" horiz="1" max="1000" noThreeD="1" page="10" val="0"/>
</file>

<file path=xl/ctrlProps/ctrlProp52.xml><?xml version="1.0" encoding="utf-8"?>
<formControlPr xmlns="http://schemas.microsoft.com/office/spreadsheetml/2009/9/main" objectType="Scroll" dx="26" fmlaLink="$G$10" horiz="1" max="1000" page="10" val="8"/>
</file>

<file path=xl/ctrlProps/ctrlProp53.xml><?xml version="1.0" encoding="utf-8"?>
<formControlPr xmlns="http://schemas.microsoft.com/office/spreadsheetml/2009/9/main" objectType="Scroll" dx="26" fmlaLink="$F$10" horiz="1" max="1000" noThreeD="1" page="10" val="615"/>
</file>

<file path=xl/ctrlProps/ctrlProp54.xml><?xml version="1.0" encoding="utf-8"?>
<formControlPr xmlns="http://schemas.microsoft.com/office/spreadsheetml/2009/9/main" objectType="Scroll" dx="26" fmlaLink="$G$19" horiz="1" max="1000" page="10" val="0"/>
</file>

<file path=xl/ctrlProps/ctrlProp55.xml><?xml version="1.0" encoding="utf-8"?>
<formControlPr xmlns="http://schemas.microsoft.com/office/spreadsheetml/2009/9/main" objectType="Scroll" dx="26" fmlaLink="$F$19" horiz="1" max="1000" page="10" val="0"/>
</file>

<file path=xl/ctrlProps/ctrlProp56.xml><?xml version="1.0" encoding="utf-8"?>
<formControlPr xmlns="http://schemas.microsoft.com/office/spreadsheetml/2009/9/main" objectType="Scroll" dx="26" fmlaLink="$G$28" horiz="1" max="1000" page="10" val="3"/>
</file>

<file path=xl/ctrlProps/ctrlProp57.xml><?xml version="1.0" encoding="utf-8"?>
<formControlPr xmlns="http://schemas.microsoft.com/office/spreadsheetml/2009/9/main" objectType="Scroll" dx="26" fmlaLink="$F$28" horiz="1" max="1000" page="10" val="317"/>
</file>

<file path=xl/ctrlProps/ctrlProp58.xml><?xml version="1.0" encoding="utf-8"?>
<formControlPr xmlns="http://schemas.microsoft.com/office/spreadsheetml/2009/9/main" objectType="Scroll" dx="26" fmlaLink="$G$4" horiz="1" max="1000" page="10" val="9"/>
</file>

<file path=xl/ctrlProps/ctrlProp59.xml><?xml version="1.0" encoding="utf-8"?>
<formControlPr xmlns="http://schemas.microsoft.com/office/spreadsheetml/2009/9/main" objectType="Scroll" dx="26" fmlaLink="$F$4" horiz="1" max="1000" noThreeD="1" page="10" val="0"/>
</file>

<file path=xl/ctrlProps/ctrlProp60.xml><?xml version="1.0" encoding="utf-8"?>
<formControlPr xmlns="http://schemas.microsoft.com/office/spreadsheetml/2009/9/main" objectType="Scroll" dx="26" fmlaLink="$G$10" horiz="1" max="1000" page="10" val="8"/>
</file>

<file path=xl/ctrlProps/ctrlProp61.xml><?xml version="1.0" encoding="utf-8"?>
<formControlPr xmlns="http://schemas.microsoft.com/office/spreadsheetml/2009/9/main" objectType="Scroll" dx="26" fmlaLink="$F$10" horiz="1" max="1000" noThreeD="1" page="10" val="615"/>
</file>

<file path=xl/ctrlProps/ctrlProp62.xml><?xml version="1.0" encoding="utf-8"?>
<formControlPr xmlns="http://schemas.microsoft.com/office/spreadsheetml/2009/9/main" objectType="Scroll" dx="26" fmlaLink="$G$19" horiz="1" max="1000" page="10" val="0"/>
</file>

<file path=xl/ctrlProps/ctrlProp63.xml><?xml version="1.0" encoding="utf-8"?>
<formControlPr xmlns="http://schemas.microsoft.com/office/spreadsheetml/2009/9/main" objectType="Scroll" dx="26" fmlaLink="$F$19" horiz="1" max="1000" page="10" val="0"/>
</file>

<file path=xl/ctrlProps/ctrlProp64.xml><?xml version="1.0" encoding="utf-8"?>
<formControlPr xmlns="http://schemas.microsoft.com/office/spreadsheetml/2009/9/main" objectType="Scroll" dx="26" fmlaLink="$G$28" horiz="1" max="1000" page="10" val="3"/>
</file>

<file path=xl/ctrlProps/ctrlProp65.xml><?xml version="1.0" encoding="utf-8"?>
<formControlPr xmlns="http://schemas.microsoft.com/office/spreadsheetml/2009/9/main" objectType="Scroll" dx="26" fmlaLink="$F$28" horiz="1" max="1000" page="10" val="317"/>
</file>

<file path=xl/ctrlProps/ctrlProp66.xml><?xml version="1.0" encoding="utf-8"?>
<formControlPr xmlns="http://schemas.microsoft.com/office/spreadsheetml/2009/9/main" objectType="Scroll" dx="26" fmlaLink="$G$4" horiz="1" max="1000" page="10" val="9"/>
</file>

<file path=xl/ctrlProps/ctrlProp67.xml><?xml version="1.0" encoding="utf-8"?>
<formControlPr xmlns="http://schemas.microsoft.com/office/spreadsheetml/2009/9/main" objectType="Scroll" dx="26" fmlaLink="$F$4" horiz="1" max="1000" noThreeD="1" page="10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160020</xdr:rowOff>
        </xdr:from>
        <xdr:to>
          <xdr:col>2</xdr:col>
          <xdr:colOff>556260</xdr:colOff>
          <xdr:row>32</xdr:row>
          <xdr:rowOff>0</xdr:rowOff>
        </xdr:to>
        <xdr:sp macro="" textlink="">
          <xdr:nvSpPr>
            <xdr:cNvPr id="655361" name="Check Box 1" hidden="1">
              <a:extLst>
                <a:ext uri="{63B3BB69-23CF-44E3-9099-C40C66FF867C}">
                  <a14:compatExt spid="_x0000_s65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30</xdr:row>
          <xdr:rowOff>152400</xdr:rowOff>
        </xdr:from>
        <xdr:to>
          <xdr:col>8</xdr:col>
          <xdr:colOff>586740</xdr:colOff>
          <xdr:row>31</xdr:row>
          <xdr:rowOff>160020</xdr:rowOff>
        </xdr:to>
        <xdr:sp macro="" textlink="">
          <xdr:nvSpPr>
            <xdr:cNvPr id="655363" name="Check Box 3" hidden="1">
              <a:extLst>
                <a:ext uri="{63B3BB69-23CF-44E3-9099-C40C66FF867C}">
                  <a14:compatExt spid="_x0000_s65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31</xdr:row>
          <xdr:rowOff>15240</xdr:rowOff>
        </xdr:from>
        <xdr:to>
          <xdr:col>14</xdr:col>
          <xdr:colOff>563880</xdr:colOff>
          <xdr:row>32</xdr:row>
          <xdr:rowOff>22860</xdr:rowOff>
        </xdr:to>
        <xdr:sp macro="" textlink="">
          <xdr:nvSpPr>
            <xdr:cNvPr id="655364" name="Check Box 4" hidden="1">
              <a:extLst>
                <a:ext uri="{63B3BB69-23CF-44E3-9099-C40C66FF867C}">
                  <a14:compatExt spid="_x0000_s65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</xdr:colOff>
          <xdr:row>30</xdr:row>
          <xdr:rowOff>152400</xdr:rowOff>
        </xdr:from>
        <xdr:to>
          <xdr:col>20</xdr:col>
          <xdr:colOff>586740</xdr:colOff>
          <xdr:row>31</xdr:row>
          <xdr:rowOff>160020</xdr:rowOff>
        </xdr:to>
        <xdr:sp macro="" textlink="">
          <xdr:nvSpPr>
            <xdr:cNvPr id="655365" name="Check Box 5" hidden="1">
              <a:extLst>
                <a:ext uri="{63B3BB69-23CF-44E3-9099-C40C66FF867C}">
                  <a14:compatExt spid="_x0000_s65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31</xdr:row>
          <xdr:rowOff>7620</xdr:rowOff>
        </xdr:from>
        <xdr:to>
          <xdr:col>26</xdr:col>
          <xdr:colOff>594360</xdr:colOff>
          <xdr:row>32</xdr:row>
          <xdr:rowOff>15240</xdr:rowOff>
        </xdr:to>
        <xdr:sp macro="" textlink="">
          <xdr:nvSpPr>
            <xdr:cNvPr id="655366" name="Check Box 6" hidden="1">
              <a:extLst>
                <a:ext uri="{63B3BB69-23CF-44E3-9099-C40C66FF867C}">
                  <a14:compatExt spid="_x0000_s65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38</xdr:row>
      <xdr:rowOff>140970</xdr:rowOff>
    </xdr:from>
    <xdr:to>
      <xdr:col>11</xdr:col>
      <xdr:colOff>746760</xdr:colOff>
      <xdr:row>55</xdr:row>
      <xdr:rowOff>34290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388620</xdr:colOff>
      <xdr:row>0</xdr:row>
      <xdr:rowOff>15240</xdr:rowOff>
    </xdr:from>
    <xdr:to>
      <xdr:col>17</xdr:col>
      <xdr:colOff>441960</xdr:colOff>
      <xdr:row>25</xdr:row>
      <xdr:rowOff>160020</xdr:rowOff>
    </xdr:to>
    <xdr:graphicFrame macro="">
      <xdr:nvGraphicFramePr>
        <xdr:cNvPr id="6369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36990" name="Scroll Bar 62" hidden="1">
              <a:extLst>
                <a:ext uri="{63B3BB69-23CF-44E3-9099-C40C66FF867C}">
                  <a14:compatExt spid="_x0000_s63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36991" name="Scroll Bar 63" hidden="1">
              <a:extLst>
                <a:ext uri="{63B3BB69-23CF-44E3-9099-C40C66FF867C}">
                  <a14:compatExt spid="_x0000_s63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20</xdr:col>
      <xdr:colOff>0</xdr:colOff>
      <xdr:row>3</xdr:row>
      <xdr:rowOff>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124206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124206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20</xdr:col>
      <xdr:colOff>7620</xdr:colOff>
      <xdr:row>6</xdr:row>
      <xdr:rowOff>91440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124282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124282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</xdr:colOff>
      <xdr:row>0</xdr:row>
      <xdr:rowOff>76200</xdr:rowOff>
    </xdr:from>
    <xdr:to>
      <xdr:col>19</xdr:col>
      <xdr:colOff>83820</xdr:colOff>
      <xdr:row>26</xdr:row>
      <xdr:rowOff>53340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0</xdr:colOff>
      <xdr:row>3</xdr:row>
      <xdr:rowOff>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17348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17348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7620</xdr:colOff>
      <xdr:row>6</xdr:row>
      <xdr:rowOff>91440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17424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17424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37969" name="Scroll Bar 17" hidden="1">
              <a:extLst>
                <a:ext uri="{63B3BB69-23CF-44E3-9099-C40C66FF867C}">
                  <a14:compatExt spid="_x0000_s63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37970" name="Scroll Bar 18" hidden="1">
              <a:extLst>
                <a:ext uri="{63B3BB69-23CF-44E3-9099-C40C66FF867C}">
                  <a14:compatExt spid="_x0000_s63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0</xdr:row>
      <xdr:rowOff>83820</xdr:rowOff>
    </xdr:from>
    <xdr:to>
      <xdr:col>19</xdr:col>
      <xdr:colOff>38100</xdr:colOff>
      <xdr:row>26</xdr:row>
      <xdr:rowOff>60960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0</xdr:colOff>
      <xdr:row>3</xdr:row>
      <xdr:rowOff>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17348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17348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7620</xdr:colOff>
      <xdr:row>6</xdr:row>
      <xdr:rowOff>91440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17424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17424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38985" name="Scroll Bar 9" hidden="1">
              <a:extLst>
                <a:ext uri="{63B3BB69-23CF-44E3-9099-C40C66FF867C}">
                  <a14:compatExt spid="_x0000_s63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38986" name="Scroll Bar 10" hidden="1">
              <a:extLst>
                <a:ext uri="{63B3BB69-23CF-44E3-9099-C40C66FF867C}">
                  <a14:compatExt spid="_x0000_s63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</xdr:colOff>
      <xdr:row>0</xdr:row>
      <xdr:rowOff>121920</xdr:rowOff>
    </xdr:from>
    <xdr:to>
      <xdr:col>16</xdr:col>
      <xdr:colOff>518160</xdr:colOff>
      <xdr:row>24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40003" name="Scroll Bar 3" hidden="1">
              <a:extLst>
                <a:ext uri="{63B3BB69-23CF-44E3-9099-C40C66FF867C}">
                  <a14:compatExt spid="_x0000_s640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40004" name="Scroll Bar 4" hidden="1">
              <a:extLst>
                <a:ext uri="{63B3BB69-23CF-44E3-9099-C40C66FF867C}">
                  <a14:compatExt spid="_x0000_s640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19</xdr:col>
      <xdr:colOff>0</xdr:colOff>
      <xdr:row>3</xdr:row>
      <xdr:rowOff>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12039600" y="89154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2039600" y="89154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7620</xdr:colOff>
      <xdr:row>6</xdr:row>
      <xdr:rowOff>91440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12047220" y="148590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2047220" y="148590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0</xdr:row>
      <xdr:rowOff>83820</xdr:rowOff>
    </xdr:from>
    <xdr:to>
      <xdr:col>19</xdr:col>
      <xdr:colOff>38100</xdr:colOff>
      <xdr:row>26</xdr:row>
      <xdr:rowOff>60960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175260</xdr:colOff>
      <xdr:row>13</xdr:row>
      <xdr:rowOff>156210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1910060" y="239649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1910060" y="239649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182880</xdr:colOff>
      <xdr:row>16</xdr:row>
      <xdr:rowOff>171450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1917680" y="299085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1917680" y="299085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41041" name="Scroll Bar 17" hidden="1">
              <a:extLst>
                <a:ext uri="{63B3BB69-23CF-44E3-9099-C40C66FF867C}">
                  <a14:compatExt spid="_x0000_s64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41042" name="Scroll Bar 18" hidden="1">
              <a:extLst>
                <a:ext uri="{63B3BB69-23CF-44E3-9099-C40C66FF867C}">
                  <a14:compatExt spid="_x0000_s64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441960</xdr:colOff>
      <xdr:row>0</xdr:row>
      <xdr:rowOff>22860</xdr:rowOff>
    </xdr:from>
    <xdr:to>
      <xdr:col>17</xdr:col>
      <xdr:colOff>495300</xdr:colOff>
      <xdr:row>26</xdr:row>
      <xdr:rowOff>0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18</xdr:col>
      <xdr:colOff>594360</xdr:colOff>
      <xdr:row>4</xdr:row>
      <xdr:rowOff>106680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1719560" y="83058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1719560" y="83058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7620</xdr:colOff>
      <xdr:row>7</xdr:row>
      <xdr:rowOff>190500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1742420" y="14173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1742420" y="14173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42065" name="Scroll Bar 17" hidden="1">
              <a:extLst>
                <a:ext uri="{63B3BB69-23CF-44E3-9099-C40C66FF867C}">
                  <a14:compatExt spid="_x0000_s64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42066" name="Scroll Bar 18" hidden="1">
              <a:extLst>
                <a:ext uri="{63B3BB69-23CF-44E3-9099-C40C66FF867C}">
                  <a14:compatExt spid="_x0000_s64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464820</xdr:colOff>
      <xdr:row>0</xdr:row>
      <xdr:rowOff>129540</xdr:rowOff>
    </xdr:from>
    <xdr:to>
      <xdr:col>17</xdr:col>
      <xdr:colOff>518160</xdr:colOff>
      <xdr:row>26</xdr:row>
      <xdr:rowOff>106680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0</xdr:colOff>
      <xdr:row>3</xdr:row>
      <xdr:rowOff>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17348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17348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7620</xdr:colOff>
      <xdr:row>6</xdr:row>
      <xdr:rowOff>91440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17424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17424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43081" name="Scroll Bar 9" hidden="1">
              <a:extLst>
                <a:ext uri="{63B3BB69-23CF-44E3-9099-C40C66FF867C}">
                  <a14:compatExt spid="_x0000_s64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43082" name="Scroll Bar 10" hidden="1">
              <a:extLst>
                <a:ext uri="{63B3BB69-23CF-44E3-9099-C40C66FF867C}">
                  <a14:compatExt spid="_x0000_s64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0</xdr:row>
      <xdr:rowOff>83820</xdr:rowOff>
    </xdr:from>
    <xdr:to>
      <xdr:col>19</xdr:col>
      <xdr:colOff>38100</xdr:colOff>
      <xdr:row>26</xdr:row>
      <xdr:rowOff>60960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0</xdr:colOff>
      <xdr:row>3</xdr:row>
      <xdr:rowOff>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17348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1734800" y="55626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7620</xdr:colOff>
      <xdr:row>6</xdr:row>
      <xdr:rowOff>91440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17424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1742420" y="115062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44105" name="Scroll Bar 9" hidden="1">
              <a:extLst>
                <a:ext uri="{63B3BB69-23CF-44E3-9099-C40C66FF867C}">
                  <a14:compatExt spid="_x0000_s64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44106" name="Scroll Bar 10" hidden="1">
              <a:extLst>
                <a:ext uri="{63B3BB69-23CF-44E3-9099-C40C66FF867C}">
                  <a14:compatExt spid="_x0000_s64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152400</xdr:rowOff>
    </xdr:from>
    <xdr:to>
      <xdr:col>18</xdr:col>
      <xdr:colOff>53340</xdr:colOff>
      <xdr:row>26</xdr:row>
      <xdr:rowOff>129540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0</xdr:colOff>
      <xdr:row>4</xdr:row>
      <xdr:rowOff>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1734800" y="72390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1734800" y="72390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7620</xdr:colOff>
      <xdr:row>7</xdr:row>
      <xdr:rowOff>91440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1742420" y="131826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1742420" y="131826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48201" name="Scroll Bar 9" hidden="1">
              <a:extLst>
                <a:ext uri="{63B3BB69-23CF-44E3-9099-C40C66FF867C}">
                  <a14:compatExt spid="_x0000_s64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48202" name="Scroll Bar 10" hidden="1">
              <a:extLst>
                <a:ext uri="{63B3BB69-23CF-44E3-9099-C40C66FF867C}">
                  <a14:compatExt spid="_x0000_s64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358140</xdr:colOff>
      <xdr:row>0</xdr:row>
      <xdr:rowOff>83820</xdr:rowOff>
    </xdr:from>
    <xdr:to>
      <xdr:col>17</xdr:col>
      <xdr:colOff>411480</xdr:colOff>
      <xdr:row>26</xdr:row>
      <xdr:rowOff>60960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0</xdr:colOff>
      <xdr:row>4</xdr:row>
      <xdr:rowOff>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1734800" y="72390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1734800" y="72390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7620</xdr:colOff>
      <xdr:row>7</xdr:row>
      <xdr:rowOff>91440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1742420" y="131826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1742420" y="131826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49225" name="Scroll Bar 9" hidden="1">
              <a:extLst>
                <a:ext uri="{63B3BB69-23CF-44E3-9099-C40C66FF867C}">
                  <a14:compatExt spid="_x0000_s64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49226" name="Scroll Bar 10" hidden="1">
              <a:extLst>
                <a:ext uri="{63B3BB69-23CF-44E3-9099-C40C66FF867C}">
                  <a14:compatExt spid="_x0000_s64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0</xdr:row>
      <xdr:rowOff>30480</xdr:rowOff>
    </xdr:from>
    <xdr:to>
      <xdr:col>17</xdr:col>
      <xdr:colOff>297180</xdr:colOff>
      <xdr:row>26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0</xdr:colOff>
      <xdr:row>4</xdr:row>
      <xdr:rowOff>0</xdr:rowOff>
    </xdr:from>
    <xdr:ext cx="1850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1673840" y="72390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90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+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1673840" y="723900"/>
              <a:ext cx="1850828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100=𝑑_90  + (1/9)(𝑑_90+ 𝑑_0 )</a:t>
              </a:r>
              <a:endParaRPr lang="fa-IR" sz="1100"/>
            </a:p>
          </xdr:txBody>
        </xdr:sp>
      </mc:Fallback>
    </mc:AlternateContent>
    <xdr:clientData/>
  </xdr:oneCellAnchor>
  <xdr:oneCellAnchor>
    <xdr:from>
      <xdr:col>19</xdr:col>
      <xdr:colOff>7620</xdr:colOff>
      <xdr:row>7</xdr:row>
      <xdr:rowOff>91440</xdr:rowOff>
    </xdr:from>
    <xdr:ext cx="18536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1681460" y="131826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a-I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− 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90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a-IR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1681460" y="1318260"/>
              <a:ext cx="1853649" cy="380361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1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fa-IR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50=𝑑_100  − (5/9)(𝑑_90+ 𝑑_0 )</a:t>
              </a:r>
              <a:endParaRPr lang="fa-I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10</xdr:row>
          <xdr:rowOff>45720</xdr:rowOff>
        </xdr:from>
        <xdr:to>
          <xdr:col>1</xdr:col>
          <xdr:colOff>563880</xdr:colOff>
          <xdr:row>12</xdr:row>
          <xdr:rowOff>15240</xdr:rowOff>
        </xdr:to>
        <xdr:sp macro="" textlink="">
          <xdr:nvSpPr>
            <xdr:cNvPr id="650249" name="Scroll Bar 9" hidden="1">
              <a:extLst>
                <a:ext uri="{63B3BB69-23CF-44E3-9099-C40C66FF867C}">
                  <a14:compatExt spid="_x0000_s65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30480</xdr:rowOff>
        </xdr:from>
        <xdr:to>
          <xdr:col>0</xdr:col>
          <xdr:colOff>586740</xdr:colOff>
          <xdr:row>12</xdr:row>
          <xdr:rowOff>0</xdr:rowOff>
        </xdr:to>
        <xdr:sp macro="" textlink="">
          <xdr:nvSpPr>
            <xdr:cNvPr id="650250" name="Scroll Bar 10" hidden="1">
              <a:extLst>
                <a:ext uri="{63B3BB69-23CF-44E3-9099-C40C66FF867C}">
                  <a14:compatExt spid="_x0000_s65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0</xdr:row>
      <xdr:rowOff>83820</xdr:rowOff>
    </xdr:from>
    <xdr:to>
      <xdr:col>19</xdr:col>
      <xdr:colOff>38100</xdr:colOff>
      <xdr:row>26</xdr:row>
      <xdr:rowOff>60960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76200</xdr:rowOff>
        </xdr:from>
        <xdr:to>
          <xdr:col>1</xdr:col>
          <xdr:colOff>586740</xdr:colOff>
          <xdr:row>9</xdr:row>
          <xdr:rowOff>15240</xdr:rowOff>
        </xdr:to>
        <xdr:sp macro="" textlink="">
          <xdr:nvSpPr>
            <xdr:cNvPr id="651265" name="Scroll Bar 1" hidden="1">
              <a:extLst>
                <a:ext uri="{63B3BB69-23CF-44E3-9099-C40C66FF867C}">
                  <a14:compatExt spid="_x0000_s65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7</xdr:row>
          <xdr:rowOff>76200</xdr:rowOff>
        </xdr:from>
        <xdr:to>
          <xdr:col>0</xdr:col>
          <xdr:colOff>563880</xdr:colOff>
          <xdr:row>9</xdr:row>
          <xdr:rowOff>15240</xdr:rowOff>
        </xdr:to>
        <xdr:sp macro="" textlink="">
          <xdr:nvSpPr>
            <xdr:cNvPr id="651266" name="Scroll Bar 2" hidden="1">
              <a:extLst>
                <a:ext uri="{63B3BB69-23CF-44E3-9099-C40C66FF867C}">
                  <a14:compatExt spid="_x0000_s65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16</xdr:row>
          <xdr:rowOff>45720</xdr:rowOff>
        </xdr:from>
        <xdr:to>
          <xdr:col>3</xdr:col>
          <xdr:colOff>563880</xdr:colOff>
          <xdr:row>17</xdr:row>
          <xdr:rowOff>152400</xdr:rowOff>
        </xdr:to>
        <xdr:sp macro="" textlink="">
          <xdr:nvSpPr>
            <xdr:cNvPr id="651267" name="Scroll Bar 3" hidden="1">
              <a:extLst>
                <a:ext uri="{63B3BB69-23CF-44E3-9099-C40C66FF867C}">
                  <a14:compatExt spid="_x0000_s65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2</xdr:col>
          <xdr:colOff>586740</xdr:colOff>
          <xdr:row>17</xdr:row>
          <xdr:rowOff>137160</xdr:rowOff>
        </xdr:to>
        <xdr:sp macro="" textlink="">
          <xdr:nvSpPr>
            <xdr:cNvPr id="651268" name="Scroll Bar 4" hidden="1">
              <a:extLst>
                <a:ext uri="{63B3BB69-23CF-44E3-9099-C40C66FF867C}">
                  <a14:compatExt spid="_x0000_s65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22860</xdr:rowOff>
        </xdr:from>
        <xdr:to>
          <xdr:col>2</xdr:col>
          <xdr:colOff>586740</xdr:colOff>
          <xdr:row>29</xdr:row>
          <xdr:rowOff>114300</xdr:rowOff>
        </xdr:to>
        <xdr:sp macro="" textlink="">
          <xdr:nvSpPr>
            <xdr:cNvPr id="651269" name="Scroll Bar 5" hidden="1">
              <a:extLst>
                <a:ext uri="{63B3BB69-23CF-44E3-9099-C40C66FF867C}">
                  <a14:compatExt spid="_x0000_s65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28</xdr:row>
          <xdr:rowOff>30480</xdr:rowOff>
        </xdr:from>
        <xdr:to>
          <xdr:col>1</xdr:col>
          <xdr:colOff>0</xdr:colOff>
          <xdr:row>29</xdr:row>
          <xdr:rowOff>137160</xdr:rowOff>
        </xdr:to>
        <xdr:sp macro="" textlink="">
          <xdr:nvSpPr>
            <xdr:cNvPr id="651270" name="Scroll Bar 6" hidden="1">
              <a:extLst>
                <a:ext uri="{63B3BB69-23CF-44E3-9099-C40C66FF867C}">
                  <a14:compatExt spid="_x0000_s65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</xdr:row>
          <xdr:rowOff>45720</xdr:rowOff>
        </xdr:from>
        <xdr:to>
          <xdr:col>1</xdr:col>
          <xdr:colOff>571500</xdr:colOff>
          <xdr:row>4</xdr:row>
          <xdr:rowOff>152400</xdr:rowOff>
        </xdr:to>
        <xdr:sp macro="" textlink="">
          <xdr:nvSpPr>
            <xdr:cNvPr id="651271" name="Scroll Bar 7" hidden="1">
              <a:extLst>
                <a:ext uri="{63B3BB69-23CF-44E3-9099-C40C66FF867C}">
                  <a14:compatExt spid="_x0000_s65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45720</xdr:rowOff>
        </xdr:from>
        <xdr:to>
          <xdr:col>0</xdr:col>
          <xdr:colOff>571500</xdr:colOff>
          <xdr:row>4</xdr:row>
          <xdr:rowOff>152400</xdr:rowOff>
        </xdr:to>
        <xdr:sp macro="" textlink="">
          <xdr:nvSpPr>
            <xdr:cNvPr id="651272" name="Scroll Bar 8" hidden="1">
              <a:extLst>
                <a:ext uri="{63B3BB69-23CF-44E3-9099-C40C66FF867C}">
                  <a14:compatExt spid="_x0000_s65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0</xdr:row>
      <xdr:rowOff>83820</xdr:rowOff>
    </xdr:from>
    <xdr:to>
      <xdr:col>19</xdr:col>
      <xdr:colOff>38100</xdr:colOff>
      <xdr:row>26</xdr:row>
      <xdr:rowOff>60960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76200</xdr:rowOff>
        </xdr:from>
        <xdr:to>
          <xdr:col>1</xdr:col>
          <xdr:colOff>586740</xdr:colOff>
          <xdr:row>9</xdr:row>
          <xdr:rowOff>15240</xdr:rowOff>
        </xdr:to>
        <xdr:sp macro="" textlink="">
          <xdr:nvSpPr>
            <xdr:cNvPr id="652289" name="Scroll Bar 1" hidden="1">
              <a:extLst>
                <a:ext uri="{63B3BB69-23CF-44E3-9099-C40C66FF867C}">
                  <a14:compatExt spid="_x0000_s65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7</xdr:row>
          <xdr:rowOff>76200</xdr:rowOff>
        </xdr:from>
        <xdr:to>
          <xdr:col>0</xdr:col>
          <xdr:colOff>563880</xdr:colOff>
          <xdr:row>9</xdr:row>
          <xdr:rowOff>15240</xdr:rowOff>
        </xdr:to>
        <xdr:sp macro="" textlink="">
          <xdr:nvSpPr>
            <xdr:cNvPr id="652290" name="Scroll Bar 2" hidden="1">
              <a:extLst>
                <a:ext uri="{63B3BB69-23CF-44E3-9099-C40C66FF867C}">
                  <a14:compatExt spid="_x0000_s65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16</xdr:row>
          <xdr:rowOff>45720</xdr:rowOff>
        </xdr:from>
        <xdr:to>
          <xdr:col>3</xdr:col>
          <xdr:colOff>563880</xdr:colOff>
          <xdr:row>17</xdr:row>
          <xdr:rowOff>152400</xdr:rowOff>
        </xdr:to>
        <xdr:sp macro="" textlink="">
          <xdr:nvSpPr>
            <xdr:cNvPr id="652291" name="Scroll Bar 3" hidden="1">
              <a:extLst>
                <a:ext uri="{63B3BB69-23CF-44E3-9099-C40C66FF867C}">
                  <a14:compatExt spid="_x0000_s65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2</xdr:col>
          <xdr:colOff>586740</xdr:colOff>
          <xdr:row>17</xdr:row>
          <xdr:rowOff>137160</xdr:rowOff>
        </xdr:to>
        <xdr:sp macro="" textlink="">
          <xdr:nvSpPr>
            <xdr:cNvPr id="652292" name="Scroll Bar 4" hidden="1">
              <a:extLst>
                <a:ext uri="{63B3BB69-23CF-44E3-9099-C40C66FF867C}">
                  <a14:compatExt spid="_x0000_s65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22860</xdr:rowOff>
        </xdr:from>
        <xdr:to>
          <xdr:col>2</xdr:col>
          <xdr:colOff>586740</xdr:colOff>
          <xdr:row>29</xdr:row>
          <xdr:rowOff>114300</xdr:rowOff>
        </xdr:to>
        <xdr:sp macro="" textlink="">
          <xdr:nvSpPr>
            <xdr:cNvPr id="652293" name="Scroll Bar 5" hidden="1">
              <a:extLst>
                <a:ext uri="{63B3BB69-23CF-44E3-9099-C40C66FF867C}">
                  <a14:compatExt spid="_x0000_s65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28</xdr:row>
          <xdr:rowOff>30480</xdr:rowOff>
        </xdr:from>
        <xdr:to>
          <xdr:col>1</xdr:col>
          <xdr:colOff>0</xdr:colOff>
          <xdr:row>29</xdr:row>
          <xdr:rowOff>137160</xdr:rowOff>
        </xdr:to>
        <xdr:sp macro="" textlink="">
          <xdr:nvSpPr>
            <xdr:cNvPr id="652294" name="Scroll Bar 6" hidden="1">
              <a:extLst>
                <a:ext uri="{63B3BB69-23CF-44E3-9099-C40C66FF867C}">
                  <a14:compatExt spid="_x0000_s65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</xdr:row>
          <xdr:rowOff>45720</xdr:rowOff>
        </xdr:from>
        <xdr:to>
          <xdr:col>1</xdr:col>
          <xdr:colOff>571500</xdr:colOff>
          <xdr:row>4</xdr:row>
          <xdr:rowOff>152400</xdr:rowOff>
        </xdr:to>
        <xdr:sp macro="" textlink="">
          <xdr:nvSpPr>
            <xdr:cNvPr id="652295" name="Scroll Bar 7" hidden="1">
              <a:extLst>
                <a:ext uri="{63B3BB69-23CF-44E3-9099-C40C66FF867C}">
                  <a14:compatExt spid="_x0000_s65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45720</xdr:rowOff>
        </xdr:from>
        <xdr:to>
          <xdr:col>0</xdr:col>
          <xdr:colOff>571500</xdr:colOff>
          <xdr:row>4</xdr:row>
          <xdr:rowOff>152400</xdr:rowOff>
        </xdr:to>
        <xdr:sp macro="" textlink="">
          <xdr:nvSpPr>
            <xdr:cNvPr id="652296" name="Scroll Bar 8" hidden="1">
              <a:extLst>
                <a:ext uri="{63B3BB69-23CF-44E3-9099-C40C66FF867C}">
                  <a14:compatExt spid="_x0000_s65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0</xdr:row>
      <xdr:rowOff>83820</xdr:rowOff>
    </xdr:from>
    <xdr:to>
      <xdr:col>19</xdr:col>
      <xdr:colOff>38100</xdr:colOff>
      <xdr:row>26</xdr:row>
      <xdr:rowOff>60960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76200</xdr:rowOff>
        </xdr:from>
        <xdr:to>
          <xdr:col>1</xdr:col>
          <xdr:colOff>586740</xdr:colOff>
          <xdr:row>9</xdr:row>
          <xdr:rowOff>15240</xdr:rowOff>
        </xdr:to>
        <xdr:sp macro="" textlink="">
          <xdr:nvSpPr>
            <xdr:cNvPr id="647169" name="Scroll Bar 1" hidden="1">
              <a:extLst>
                <a:ext uri="{63B3BB69-23CF-44E3-9099-C40C66FF867C}">
                  <a14:compatExt spid="_x0000_s64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7</xdr:row>
          <xdr:rowOff>76200</xdr:rowOff>
        </xdr:from>
        <xdr:to>
          <xdr:col>0</xdr:col>
          <xdr:colOff>563880</xdr:colOff>
          <xdr:row>9</xdr:row>
          <xdr:rowOff>15240</xdr:rowOff>
        </xdr:to>
        <xdr:sp macro="" textlink="">
          <xdr:nvSpPr>
            <xdr:cNvPr id="647170" name="Scroll Bar 2" hidden="1">
              <a:extLst>
                <a:ext uri="{63B3BB69-23CF-44E3-9099-C40C66FF867C}">
                  <a14:compatExt spid="_x0000_s64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16</xdr:row>
          <xdr:rowOff>45720</xdr:rowOff>
        </xdr:from>
        <xdr:to>
          <xdr:col>3</xdr:col>
          <xdr:colOff>563880</xdr:colOff>
          <xdr:row>17</xdr:row>
          <xdr:rowOff>152400</xdr:rowOff>
        </xdr:to>
        <xdr:sp macro="" textlink="">
          <xdr:nvSpPr>
            <xdr:cNvPr id="647171" name="Scroll Bar 3" hidden="1">
              <a:extLst>
                <a:ext uri="{63B3BB69-23CF-44E3-9099-C40C66FF867C}">
                  <a14:compatExt spid="_x0000_s64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2</xdr:col>
          <xdr:colOff>586740</xdr:colOff>
          <xdr:row>17</xdr:row>
          <xdr:rowOff>137160</xdr:rowOff>
        </xdr:to>
        <xdr:sp macro="" textlink="">
          <xdr:nvSpPr>
            <xdr:cNvPr id="647172" name="Scroll Bar 4" hidden="1">
              <a:extLst>
                <a:ext uri="{63B3BB69-23CF-44E3-9099-C40C66FF867C}">
                  <a14:compatExt spid="_x0000_s64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22860</xdr:rowOff>
        </xdr:from>
        <xdr:to>
          <xdr:col>2</xdr:col>
          <xdr:colOff>586740</xdr:colOff>
          <xdr:row>29</xdr:row>
          <xdr:rowOff>114300</xdr:rowOff>
        </xdr:to>
        <xdr:sp macro="" textlink="">
          <xdr:nvSpPr>
            <xdr:cNvPr id="647173" name="Scroll Bar 5" hidden="1">
              <a:extLst>
                <a:ext uri="{63B3BB69-23CF-44E3-9099-C40C66FF867C}">
                  <a14:compatExt spid="_x0000_s64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28</xdr:row>
          <xdr:rowOff>30480</xdr:rowOff>
        </xdr:from>
        <xdr:to>
          <xdr:col>1</xdr:col>
          <xdr:colOff>0</xdr:colOff>
          <xdr:row>29</xdr:row>
          <xdr:rowOff>137160</xdr:rowOff>
        </xdr:to>
        <xdr:sp macro="" textlink="">
          <xdr:nvSpPr>
            <xdr:cNvPr id="647174" name="Scroll Bar 6" hidden="1">
              <a:extLst>
                <a:ext uri="{63B3BB69-23CF-44E3-9099-C40C66FF867C}">
                  <a14:compatExt spid="_x0000_s64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</xdr:row>
          <xdr:rowOff>45720</xdr:rowOff>
        </xdr:from>
        <xdr:to>
          <xdr:col>1</xdr:col>
          <xdr:colOff>571500</xdr:colOff>
          <xdr:row>4</xdr:row>
          <xdr:rowOff>152400</xdr:rowOff>
        </xdr:to>
        <xdr:sp macro="" textlink="">
          <xdr:nvSpPr>
            <xdr:cNvPr id="647175" name="Scroll Bar 7" hidden="1">
              <a:extLst>
                <a:ext uri="{63B3BB69-23CF-44E3-9099-C40C66FF867C}">
                  <a14:compatExt spid="_x0000_s64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45720</xdr:rowOff>
        </xdr:from>
        <xdr:to>
          <xdr:col>0</xdr:col>
          <xdr:colOff>571500</xdr:colOff>
          <xdr:row>4</xdr:row>
          <xdr:rowOff>152400</xdr:rowOff>
        </xdr:to>
        <xdr:sp macro="" textlink="">
          <xdr:nvSpPr>
            <xdr:cNvPr id="647176" name="Scroll Bar 8" hidden="1">
              <a:extLst>
                <a:ext uri="{63B3BB69-23CF-44E3-9099-C40C66FF867C}">
                  <a14:compatExt spid="_x0000_s64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0</xdr:row>
      <xdr:rowOff>83820</xdr:rowOff>
    </xdr:from>
    <xdr:to>
      <xdr:col>19</xdr:col>
      <xdr:colOff>38100</xdr:colOff>
      <xdr:row>26</xdr:row>
      <xdr:rowOff>60960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76200</xdr:rowOff>
        </xdr:from>
        <xdr:to>
          <xdr:col>1</xdr:col>
          <xdr:colOff>586740</xdr:colOff>
          <xdr:row>9</xdr:row>
          <xdr:rowOff>15240</xdr:rowOff>
        </xdr:to>
        <xdr:sp macro="" textlink="">
          <xdr:nvSpPr>
            <xdr:cNvPr id="653313" name="Scroll Bar 1" hidden="1">
              <a:extLst>
                <a:ext uri="{63B3BB69-23CF-44E3-9099-C40C66FF867C}">
                  <a14:compatExt spid="_x0000_s65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7</xdr:row>
          <xdr:rowOff>76200</xdr:rowOff>
        </xdr:from>
        <xdr:to>
          <xdr:col>0</xdr:col>
          <xdr:colOff>563880</xdr:colOff>
          <xdr:row>9</xdr:row>
          <xdr:rowOff>15240</xdr:rowOff>
        </xdr:to>
        <xdr:sp macro="" textlink="">
          <xdr:nvSpPr>
            <xdr:cNvPr id="653314" name="Scroll Bar 2" hidden="1">
              <a:extLst>
                <a:ext uri="{63B3BB69-23CF-44E3-9099-C40C66FF867C}">
                  <a14:compatExt spid="_x0000_s65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16</xdr:row>
          <xdr:rowOff>45720</xdr:rowOff>
        </xdr:from>
        <xdr:to>
          <xdr:col>3</xdr:col>
          <xdr:colOff>563880</xdr:colOff>
          <xdr:row>17</xdr:row>
          <xdr:rowOff>152400</xdr:rowOff>
        </xdr:to>
        <xdr:sp macro="" textlink="">
          <xdr:nvSpPr>
            <xdr:cNvPr id="653315" name="Scroll Bar 3" hidden="1">
              <a:extLst>
                <a:ext uri="{63B3BB69-23CF-44E3-9099-C40C66FF867C}">
                  <a14:compatExt spid="_x0000_s65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2</xdr:col>
          <xdr:colOff>586740</xdr:colOff>
          <xdr:row>17</xdr:row>
          <xdr:rowOff>137160</xdr:rowOff>
        </xdr:to>
        <xdr:sp macro="" textlink="">
          <xdr:nvSpPr>
            <xdr:cNvPr id="653316" name="Scroll Bar 4" hidden="1">
              <a:extLst>
                <a:ext uri="{63B3BB69-23CF-44E3-9099-C40C66FF867C}">
                  <a14:compatExt spid="_x0000_s65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22860</xdr:rowOff>
        </xdr:from>
        <xdr:to>
          <xdr:col>2</xdr:col>
          <xdr:colOff>586740</xdr:colOff>
          <xdr:row>29</xdr:row>
          <xdr:rowOff>114300</xdr:rowOff>
        </xdr:to>
        <xdr:sp macro="" textlink="">
          <xdr:nvSpPr>
            <xdr:cNvPr id="653317" name="Scroll Bar 5" hidden="1">
              <a:extLst>
                <a:ext uri="{63B3BB69-23CF-44E3-9099-C40C66FF867C}">
                  <a14:compatExt spid="_x0000_s65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28</xdr:row>
          <xdr:rowOff>30480</xdr:rowOff>
        </xdr:from>
        <xdr:to>
          <xdr:col>1</xdr:col>
          <xdr:colOff>0</xdr:colOff>
          <xdr:row>29</xdr:row>
          <xdr:rowOff>137160</xdr:rowOff>
        </xdr:to>
        <xdr:sp macro="" textlink="">
          <xdr:nvSpPr>
            <xdr:cNvPr id="653318" name="Scroll Bar 6" hidden="1">
              <a:extLst>
                <a:ext uri="{63B3BB69-23CF-44E3-9099-C40C66FF867C}">
                  <a14:compatExt spid="_x0000_s65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</xdr:row>
          <xdr:rowOff>45720</xdr:rowOff>
        </xdr:from>
        <xdr:to>
          <xdr:col>1</xdr:col>
          <xdr:colOff>571500</xdr:colOff>
          <xdr:row>4</xdr:row>
          <xdr:rowOff>152400</xdr:rowOff>
        </xdr:to>
        <xdr:sp macro="" textlink="">
          <xdr:nvSpPr>
            <xdr:cNvPr id="653319" name="Scroll Bar 7" hidden="1">
              <a:extLst>
                <a:ext uri="{63B3BB69-23CF-44E3-9099-C40C66FF867C}">
                  <a14:compatExt spid="_x0000_s65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45720</xdr:rowOff>
        </xdr:from>
        <xdr:to>
          <xdr:col>0</xdr:col>
          <xdr:colOff>571500</xdr:colOff>
          <xdr:row>4</xdr:row>
          <xdr:rowOff>152400</xdr:rowOff>
        </xdr:to>
        <xdr:sp macro="" textlink="">
          <xdr:nvSpPr>
            <xdr:cNvPr id="653320" name="Scroll Bar 8" hidden="1">
              <a:extLst>
                <a:ext uri="{63B3BB69-23CF-44E3-9099-C40C66FF867C}">
                  <a14:compatExt spid="_x0000_s65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0</xdr:row>
      <xdr:rowOff>83820</xdr:rowOff>
    </xdr:from>
    <xdr:to>
      <xdr:col>19</xdr:col>
      <xdr:colOff>38100</xdr:colOff>
      <xdr:row>26</xdr:row>
      <xdr:rowOff>60960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76200</xdr:rowOff>
        </xdr:from>
        <xdr:to>
          <xdr:col>1</xdr:col>
          <xdr:colOff>586740</xdr:colOff>
          <xdr:row>9</xdr:row>
          <xdr:rowOff>15240</xdr:rowOff>
        </xdr:to>
        <xdr:sp macro="" textlink="">
          <xdr:nvSpPr>
            <xdr:cNvPr id="657409" name="Scroll Bar 1" hidden="1">
              <a:extLst>
                <a:ext uri="{63B3BB69-23CF-44E3-9099-C40C66FF867C}">
                  <a14:compatExt spid="_x0000_s65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7</xdr:row>
          <xdr:rowOff>76200</xdr:rowOff>
        </xdr:from>
        <xdr:to>
          <xdr:col>0</xdr:col>
          <xdr:colOff>563880</xdr:colOff>
          <xdr:row>9</xdr:row>
          <xdr:rowOff>15240</xdr:rowOff>
        </xdr:to>
        <xdr:sp macro="" textlink="">
          <xdr:nvSpPr>
            <xdr:cNvPr id="657410" name="Scroll Bar 2" hidden="1">
              <a:extLst>
                <a:ext uri="{63B3BB69-23CF-44E3-9099-C40C66FF867C}">
                  <a14:compatExt spid="_x0000_s65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16</xdr:row>
          <xdr:rowOff>45720</xdr:rowOff>
        </xdr:from>
        <xdr:to>
          <xdr:col>3</xdr:col>
          <xdr:colOff>563880</xdr:colOff>
          <xdr:row>17</xdr:row>
          <xdr:rowOff>152400</xdr:rowOff>
        </xdr:to>
        <xdr:sp macro="" textlink="">
          <xdr:nvSpPr>
            <xdr:cNvPr id="657411" name="Scroll Bar 3" hidden="1">
              <a:extLst>
                <a:ext uri="{63B3BB69-23CF-44E3-9099-C40C66FF867C}">
                  <a14:compatExt spid="_x0000_s65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2</xdr:col>
          <xdr:colOff>586740</xdr:colOff>
          <xdr:row>17</xdr:row>
          <xdr:rowOff>137160</xdr:rowOff>
        </xdr:to>
        <xdr:sp macro="" textlink="">
          <xdr:nvSpPr>
            <xdr:cNvPr id="657412" name="Scroll Bar 4" hidden="1">
              <a:extLst>
                <a:ext uri="{63B3BB69-23CF-44E3-9099-C40C66FF867C}">
                  <a14:compatExt spid="_x0000_s65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22860</xdr:rowOff>
        </xdr:from>
        <xdr:to>
          <xdr:col>2</xdr:col>
          <xdr:colOff>586740</xdr:colOff>
          <xdr:row>29</xdr:row>
          <xdr:rowOff>114300</xdr:rowOff>
        </xdr:to>
        <xdr:sp macro="" textlink="">
          <xdr:nvSpPr>
            <xdr:cNvPr id="657413" name="Scroll Bar 5" hidden="1">
              <a:extLst>
                <a:ext uri="{63B3BB69-23CF-44E3-9099-C40C66FF867C}">
                  <a14:compatExt spid="_x0000_s65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28</xdr:row>
          <xdr:rowOff>30480</xdr:rowOff>
        </xdr:from>
        <xdr:to>
          <xdr:col>1</xdr:col>
          <xdr:colOff>0</xdr:colOff>
          <xdr:row>29</xdr:row>
          <xdr:rowOff>137160</xdr:rowOff>
        </xdr:to>
        <xdr:sp macro="" textlink="">
          <xdr:nvSpPr>
            <xdr:cNvPr id="657414" name="Scroll Bar 6" hidden="1">
              <a:extLst>
                <a:ext uri="{63B3BB69-23CF-44E3-9099-C40C66FF867C}">
                  <a14:compatExt spid="_x0000_s65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</xdr:row>
          <xdr:rowOff>45720</xdr:rowOff>
        </xdr:from>
        <xdr:to>
          <xdr:col>1</xdr:col>
          <xdr:colOff>571500</xdr:colOff>
          <xdr:row>4</xdr:row>
          <xdr:rowOff>152400</xdr:rowOff>
        </xdr:to>
        <xdr:sp macro="" textlink="">
          <xdr:nvSpPr>
            <xdr:cNvPr id="657415" name="Scroll Bar 7" hidden="1">
              <a:extLst>
                <a:ext uri="{63B3BB69-23CF-44E3-9099-C40C66FF867C}">
                  <a14:compatExt spid="_x0000_s65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45720</xdr:rowOff>
        </xdr:from>
        <xdr:to>
          <xdr:col>0</xdr:col>
          <xdr:colOff>571500</xdr:colOff>
          <xdr:row>4</xdr:row>
          <xdr:rowOff>152400</xdr:rowOff>
        </xdr:to>
        <xdr:sp macro="" textlink="">
          <xdr:nvSpPr>
            <xdr:cNvPr id="657416" name="Scroll Bar 8" hidden="1">
              <a:extLst>
                <a:ext uri="{63B3BB69-23CF-44E3-9099-C40C66FF867C}">
                  <a14:compatExt spid="_x0000_s65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ctrlProp" Target="../ctrlProps/ctrlProp28.xml"/><Relationship Id="rId7" Type="http://schemas.openxmlformats.org/officeDocument/2006/relationships/ctrlProp" Target="../ctrlProps/ctrlProp3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ctrlProp" Target="../ctrlProps/ctrlProp36.xml"/><Relationship Id="rId7" Type="http://schemas.openxmlformats.org/officeDocument/2006/relationships/ctrlProp" Target="../ctrlProps/ctrlProp4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ctrlProp" Target="../ctrlProps/ctrlProp52.xml"/><Relationship Id="rId7" Type="http://schemas.openxmlformats.org/officeDocument/2006/relationships/ctrlProp" Target="../ctrlProps/ctrlProp5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10" Type="http://schemas.openxmlformats.org/officeDocument/2006/relationships/ctrlProp" Target="../ctrlProps/ctrlProp59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ctrlProp" Target="../ctrlProps/ctrlProp60.xml"/><Relationship Id="rId7" Type="http://schemas.openxmlformats.org/officeDocument/2006/relationships/ctrlProp" Target="../ctrlProps/ctrlProp6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10" Type="http://schemas.openxmlformats.org/officeDocument/2006/relationships/ctrlProp" Target="../ctrlProps/ctrlProp67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O54"/>
  <sheetViews>
    <sheetView topLeftCell="A21" zoomScaleNormal="100" workbookViewId="0">
      <selection activeCell="AO13" sqref="AO13"/>
    </sheetView>
  </sheetViews>
  <sheetFormatPr defaultColWidth="9.109375" defaultRowHeight="13.2"/>
  <cols>
    <col min="1" max="1" width="9.109375" style="85"/>
    <col min="2" max="2" width="9.109375" style="1"/>
    <col min="3" max="3" width="8.5546875" style="1" customWidth="1"/>
    <col min="4" max="4" width="8.6640625" style="4" customWidth="1"/>
    <col min="5" max="5" width="10.88671875" style="4" customWidth="1"/>
    <col min="6" max="6" width="10" style="1" customWidth="1"/>
    <col min="7" max="7" width="9.88671875" style="1" customWidth="1"/>
    <col min="8" max="8" width="11.88671875" style="92" customWidth="1"/>
    <col min="9" max="9" width="9.33203125" style="1" customWidth="1"/>
    <col min="10" max="10" width="12.6640625" style="1" customWidth="1"/>
    <col min="11" max="17" width="9.109375" style="1"/>
    <col min="18" max="18" width="9.21875" style="1" bestFit="1" customWidth="1"/>
    <col min="19" max="19" width="12.33203125" style="1" bestFit="1" customWidth="1"/>
    <col min="20" max="20" width="13.109375" style="1" bestFit="1" customWidth="1"/>
    <col min="21" max="23" width="9.21875" style="1" bestFit="1" customWidth="1"/>
    <col min="24" max="70" width="9.109375" style="1"/>
    <col min="71" max="72" width="9.109375" style="1" customWidth="1"/>
    <col min="73" max="73" width="9.109375" style="1"/>
    <col min="74" max="74" width="13.33203125" style="1" bestFit="1" customWidth="1"/>
    <col min="75" max="75" width="13.21875" style="1" bestFit="1" customWidth="1"/>
    <col min="76" max="76" width="13.109375" style="1" bestFit="1" customWidth="1"/>
    <col min="77" max="77" width="13.5546875" style="1" bestFit="1" customWidth="1"/>
    <col min="78" max="78" width="13.44140625" style="1" bestFit="1" customWidth="1"/>
    <col min="79" max="79" width="13.33203125" style="1" bestFit="1" customWidth="1"/>
    <col min="80" max="80" width="10" style="1" bestFit="1" customWidth="1"/>
    <col min="81" max="81" width="9.44140625" style="1" bestFit="1" customWidth="1"/>
    <col min="82" max="82" width="9.33203125" style="1" bestFit="1" customWidth="1"/>
    <col min="83" max="86" width="9.109375" style="1"/>
    <col min="87" max="89" width="9.21875" style="1" bestFit="1" customWidth="1"/>
    <col min="90" max="90" width="9.5546875" style="1" bestFit="1" customWidth="1"/>
    <col min="91" max="91" width="11.21875" style="1" bestFit="1" customWidth="1"/>
    <col min="92" max="92" width="13.33203125" style="1" bestFit="1" customWidth="1"/>
    <col min="93" max="93" width="12.5546875" style="1" bestFit="1" customWidth="1"/>
    <col min="94" max="16384" width="9.109375" style="1"/>
  </cols>
  <sheetData>
    <row r="1" spans="1:93" ht="14.4" thickBot="1">
      <c r="B1" s="153" t="s">
        <v>7</v>
      </c>
      <c r="C1" s="154"/>
      <c r="D1" s="155"/>
      <c r="E1" s="30">
        <v>1E-4</v>
      </c>
      <c r="Q1"/>
      <c r="R1"/>
      <c r="S1"/>
      <c r="T1"/>
      <c r="U1"/>
      <c r="BU1"/>
      <c r="BV1"/>
      <c r="BW1"/>
      <c r="BX1"/>
      <c r="BY1"/>
      <c r="BZ1"/>
    </row>
    <row r="2" spans="1:93" customFormat="1">
      <c r="B2" s="1"/>
      <c r="C2" s="1" t="s">
        <v>6</v>
      </c>
      <c r="D2" s="4">
        <v>27</v>
      </c>
      <c r="E2" s="4"/>
      <c r="H2" s="93"/>
      <c r="L2" s="1"/>
      <c r="M2" s="1"/>
    </row>
    <row r="3" spans="1:93" ht="18.75" customHeight="1">
      <c r="C3" s="83" t="s">
        <v>102</v>
      </c>
      <c r="D3" s="82" t="s">
        <v>99</v>
      </c>
      <c r="F3"/>
      <c r="G3"/>
      <c r="I3" s="2"/>
      <c r="J3"/>
      <c r="K3" s="2"/>
      <c r="N3" s="102"/>
      <c r="O3" s="96"/>
      <c r="Q3"/>
      <c r="R3"/>
      <c r="S3"/>
      <c r="T3"/>
      <c r="U3"/>
      <c r="V3"/>
      <c r="W3"/>
      <c r="X3"/>
      <c r="Y3"/>
      <c r="Z3"/>
      <c r="BU3"/>
      <c r="BV3"/>
      <c r="BW3"/>
      <c r="BX3"/>
      <c r="BY3"/>
      <c r="BZ3"/>
    </row>
    <row r="4" spans="1:93" ht="18.75" customHeight="1">
      <c r="Q4"/>
      <c r="R4"/>
      <c r="S4"/>
      <c r="T4"/>
      <c r="U4"/>
      <c r="W4"/>
      <c r="X4"/>
      <c r="Y4"/>
      <c r="Z4"/>
      <c r="AE4" s="4"/>
      <c r="AK4" s="4"/>
      <c r="AQ4" s="4"/>
      <c r="BS4" s="134">
        <f>IF(C32=TRUE,   IF(I32=TRUE,    IF(O32=TRUE,  IF(U32=TRUE, IF(AA32=TRUE,MIN(AC36:AC54),MIN(W36:W54)), MIN(Q36:Q54)), MIN(K36:K54)), MIN(E36:E54)),0)</f>
        <v>440.5</v>
      </c>
      <c r="BT4" s="133">
        <f>IF(C32=TRUE,   IF(I32=TRUE,    IF(O32=TRUE,  IF(U32=TRUE, IF(AA32=TRUE,MAX(AE36:AE52),MAX(Y36:Y52)), MAX(S36:S52)), MAX(M36:M52)), MAX(G36:G52)),0)</f>
        <v>26.955950000000001</v>
      </c>
      <c r="BU4"/>
      <c r="BV4"/>
      <c r="BW4"/>
      <c r="BX4"/>
      <c r="BY4"/>
      <c r="BZ4"/>
    </row>
    <row r="5" spans="1:93" ht="18.75" customHeight="1">
      <c r="C5" s="147">
        <v>1</v>
      </c>
      <c r="D5" s="147"/>
      <c r="E5" s="147"/>
      <c r="F5" s="147"/>
      <c r="G5" s="147"/>
      <c r="I5" s="147">
        <v>2</v>
      </c>
      <c r="J5" s="147"/>
      <c r="K5" s="147"/>
      <c r="L5" s="147"/>
      <c r="M5" s="147"/>
      <c r="O5" s="147">
        <v>3</v>
      </c>
      <c r="P5" s="147"/>
      <c r="Q5" s="147"/>
      <c r="R5" s="147"/>
      <c r="S5" s="147"/>
      <c r="U5" s="147">
        <v>4</v>
      </c>
      <c r="V5" s="147"/>
      <c r="W5" s="147"/>
      <c r="X5" s="147"/>
      <c r="Y5" s="147"/>
      <c r="AA5" s="147">
        <v>5</v>
      </c>
      <c r="AB5" s="147"/>
      <c r="AC5" s="147"/>
      <c r="AD5" s="147"/>
      <c r="AE5" s="147"/>
      <c r="AG5" s="142">
        <v>6</v>
      </c>
      <c r="AH5" s="142"/>
      <c r="AI5" s="142"/>
      <c r="AJ5" s="142"/>
      <c r="AK5" s="142"/>
      <c r="AM5" s="142">
        <v>7</v>
      </c>
      <c r="AN5" s="142"/>
      <c r="AO5" s="142"/>
      <c r="AP5" s="142"/>
      <c r="AQ5" s="142"/>
      <c r="AS5" s="142">
        <v>8</v>
      </c>
      <c r="AT5" s="142"/>
      <c r="AU5" s="142"/>
      <c r="AV5" s="142"/>
      <c r="AW5" s="142"/>
      <c r="AY5" s="147">
        <v>9</v>
      </c>
      <c r="AZ5" s="147"/>
      <c r="BA5" s="147"/>
      <c r="BB5" s="147"/>
      <c r="BC5" s="147"/>
      <c r="BE5" s="147">
        <v>10</v>
      </c>
      <c r="BF5" s="147"/>
      <c r="BG5" s="147"/>
      <c r="BH5" s="147"/>
      <c r="BI5" s="147"/>
      <c r="BK5" s="147">
        <v>11</v>
      </c>
      <c r="BL5" s="147"/>
      <c r="BM5" s="147"/>
      <c r="BN5" s="147"/>
      <c r="BO5" s="147"/>
      <c r="BU5" s="95"/>
      <c r="BV5" s="95"/>
    </row>
    <row r="6" spans="1:93" ht="18.75" customHeight="1">
      <c r="C6" s="143" t="s">
        <v>100</v>
      </c>
      <c r="D6" s="152"/>
      <c r="E6" s="152"/>
      <c r="F6" s="152"/>
      <c r="G6" s="152"/>
      <c r="I6" s="143" t="s">
        <v>100</v>
      </c>
      <c r="J6" s="152"/>
      <c r="K6" s="152"/>
      <c r="L6" s="152"/>
      <c r="M6" s="152"/>
      <c r="O6" s="143" t="s">
        <v>100</v>
      </c>
      <c r="P6" s="152"/>
      <c r="Q6" s="152"/>
      <c r="R6" s="152"/>
      <c r="S6" s="152"/>
      <c r="U6" s="143" t="s">
        <v>100</v>
      </c>
      <c r="V6" s="143"/>
      <c r="W6" s="143"/>
      <c r="X6" s="143"/>
      <c r="Y6" s="143"/>
      <c r="AA6" s="143" t="s">
        <v>100</v>
      </c>
      <c r="AB6" s="152"/>
      <c r="AC6" s="152"/>
      <c r="AD6" s="152"/>
      <c r="AE6" s="152"/>
      <c r="AG6" s="143" t="s">
        <v>100</v>
      </c>
      <c r="AH6" s="143"/>
      <c r="AI6" s="143"/>
      <c r="AJ6" s="143"/>
      <c r="AK6" s="143"/>
      <c r="AM6" s="143" t="s">
        <v>100</v>
      </c>
      <c r="AN6" s="152"/>
      <c r="AO6" s="152"/>
      <c r="AP6" s="152"/>
      <c r="AQ6" s="152"/>
      <c r="AS6" s="143" t="s">
        <v>100</v>
      </c>
      <c r="AT6" s="143"/>
      <c r="AU6" s="143"/>
      <c r="AV6" s="143"/>
      <c r="AW6" s="143"/>
      <c r="AY6" s="143" t="s">
        <v>100</v>
      </c>
      <c r="AZ6" s="143"/>
      <c r="BA6" s="143"/>
      <c r="BB6" s="143"/>
      <c r="BC6" s="143"/>
      <c r="BE6" s="143" t="s">
        <v>100</v>
      </c>
      <c r="BF6" s="143"/>
      <c r="BG6" s="143"/>
      <c r="BH6" s="143"/>
      <c r="BI6" s="143"/>
      <c r="BK6" s="143" t="s">
        <v>100</v>
      </c>
      <c r="BL6" s="143"/>
      <c r="BM6" s="143"/>
      <c r="BN6" s="143"/>
      <c r="BO6" s="143"/>
      <c r="BU6" s="95"/>
      <c r="BV6" s="95"/>
    </row>
    <row r="7" spans="1:93" ht="18.75" customHeight="1">
      <c r="C7" s="148">
        <v>0.5</v>
      </c>
      <c r="D7" s="151"/>
      <c r="E7" s="149"/>
      <c r="F7" s="149"/>
      <c r="G7" s="149"/>
      <c r="I7" s="148">
        <v>1</v>
      </c>
      <c r="J7" s="149"/>
      <c r="K7" s="149"/>
      <c r="L7" s="149"/>
      <c r="M7" s="149"/>
      <c r="O7" s="148">
        <v>2</v>
      </c>
      <c r="P7" s="149"/>
      <c r="Q7" s="149"/>
      <c r="R7" s="149"/>
      <c r="S7" s="149"/>
      <c r="U7" s="144">
        <v>4</v>
      </c>
      <c r="V7" s="145"/>
      <c r="W7" s="145"/>
      <c r="X7" s="145"/>
      <c r="Y7" s="146"/>
      <c r="AA7" s="148">
        <v>1</v>
      </c>
      <c r="AB7" s="149"/>
      <c r="AC7" s="149"/>
      <c r="AD7" s="149"/>
      <c r="AE7" s="149"/>
      <c r="AG7" s="144">
        <v>2</v>
      </c>
      <c r="AH7" s="145"/>
      <c r="AI7" s="145"/>
      <c r="AJ7" s="145"/>
      <c r="AK7" s="146"/>
      <c r="AM7" s="148">
        <v>4</v>
      </c>
      <c r="AN7" s="149"/>
      <c r="AO7" s="149"/>
      <c r="AP7" s="149"/>
      <c r="AQ7" s="149"/>
      <c r="AS7" s="144">
        <v>8</v>
      </c>
      <c r="AT7" s="145"/>
      <c r="AU7" s="145"/>
      <c r="AV7" s="145"/>
      <c r="AW7" s="146"/>
      <c r="AY7" s="144">
        <v>16</v>
      </c>
      <c r="AZ7" s="145"/>
      <c r="BA7" s="145"/>
      <c r="BB7" s="145"/>
      <c r="BC7" s="146"/>
      <c r="BE7" s="144">
        <v>32</v>
      </c>
      <c r="BF7" s="145"/>
      <c r="BG7" s="145"/>
      <c r="BH7" s="145"/>
      <c r="BI7" s="146"/>
      <c r="BK7" s="148"/>
      <c r="BL7" s="149"/>
      <c r="BM7" s="149"/>
      <c r="BN7" s="149"/>
      <c r="BO7" s="149"/>
      <c r="BU7" s="95"/>
      <c r="BV7" s="95"/>
    </row>
    <row r="8" spans="1:93" s="3" customFormat="1" ht="18.75" customHeight="1">
      <c r="C8" s="19" t="s">
        <v>0</v>
      </c>
      <c r="D8" s="36" t="s">
        <v>3</v>
      </c>
      <c r="E8" s="159" t="s">
        <v>4</v>
      </c>
      <c r="F8" s="28" t="s">
        <v>4</v>
      </c>
      <c r="G8" s="12" t="s">
        <v>5</v>
      </c>
      <c r="H8" s="94"/>
      <c r="I8" s="12" t="s">
        <v>0</v>
      </c>
      <c r="J8" s="13" t="s">
        <v>3</v>
      </c>
      <c r="K8" s="150" t="s">
        <v>4</v>
      </c>
      <c r="L8" s="28" t="s">
        <v>4</v>
      </c>
      <c r="M8" s="12" t="s">
        <v>5</v>
      </c>
      <c r="O8" s="12" t="s">
        <v>0</v>
      </c>
      <c r="P8" s="13" t="s">
        <v>3</v>
      </c>
      <c r="Q8" s="150" t="s">
        <v>4</v>
      </c>
      <c r="R8" s="28" t="s">
        <v>4</v>
      </c>
      <c r="S8" s="12" t="s">
        <v>5</v>
      </c>
      <c r="U8" s="12" t="s">
        <v>0</v>
      </c>
      <c r="V8" s="14" t="s">
        <v>3</v>
      </c>
      <c r="W8" s="150" t="s">
        <v>4</v>
      </c>
      <c r="X8" s="28" t="s">
        <v>4</v>
      </c>
      <c r="Y8" s="12" t="s">
        <v>5</v>
      </c>
      <c r="AA8" s="12" t="s">
        <v>0</v>
      </c>
      <c r="AB8" s="22" t="s">
        <v>3</v>
      </c>
      <c r="AC8" s="150" t="s">
        <v>4</v>
      </c>
      <c r="AD8" s="28" t="s">
        <v>4</v>
      </c>
      <c r="AE8" s="12" t="s">
        <v>5</v>
      </c>
      <c r="AF8" s="1"/>
      <c r="AG8" s="19" t="s">
        <v>0</v>
      </c>
      <c r="AH8" s="86" t="s">
        <v>3</v>
      </c>
      <c r="AI8" s="87" t="s">
        <v>4</v>
      </c>
      <c r="AJ8" s="28" t="s">
        <v>4</v>
      </c>
      <c r="AK8" s="12" t="s">
        <v>5</v>
      </c>
      <c r="AL8" s="1"/>
      <c r="AM8" s="12" t="s">
        <v>0</v>
      </c>
      <c r="AN8" s="45" t="s">
        <v>3</v>
      </c>
      <c r="AO8" s="150" t="s">
        <v>4</v>
      </c>
      <c r="AP8" s="28" t="s">
        <v>4</v>
      </c>
      <c r="AQ8" s="12" t="s">
        <v>5</v>
      </c>
      <c r="AR8" s="1"/>
      <c r="AS8" s="12" t="s">
        <v>0</v>
      </c>
      <c r="AT8" s="86" t="s">
        <v>3</v>
      </c>
      <c r="AU8" s="88" t="s">
        <v>4</v>
      </c>
      <c r="AV8" s="28" t="s">
        <v>4</v>
      </c>
      <c r="AW8" s="12" t="s">
        <v>5</v>
      </c>
      <c r="AX8" s="1"/>
      <c r="AY8" s="12" t="s">
        <v>0</v>
      </c>
      <c r="AZ8" s="45" t="s">
        <v>3</v>
      </c>
      <c r="BA8" s="157" t="s">
        <v>4</v>
      </c>
      <c r="BB8" s="28" t="s">
        <v>4</v>
      </c>
      <c r="BC8" s="12" t="s">
        <v>5</v>
      </c>
      <c r="BD8" s="1"/>
      <c r="BE8" s="12" t="s">
        <v>0</v>
      </c>
      <c r="BF8" s="45" t="s">
        <v>3</v>
      </c>
      <c r="BG8" s="157" t="s">
        <v>4</v>
      </c>
      <c r="BH8" s="28" t="s">
        <v>4</v>
      </c>
      <c r="BI8" s="12" t="s">
        <v>5</v>
      </c>
      <c r="BK8" s="12" t="s">
        <v>0</v>
      </c>
      <c r="BL8" s="45" t="s">
        <v>3</v>
      </c>
      <c r="BM8" s="150" t="s">
        <v>4</v>
      </c>
      <c r="BN8" s="28" t="s">
        <v>4</v>
      </c>
      <c r="BO8" s="12" t="s">
        <v>5</v>
      </c>
      <c r="BW8" s="103"/>
      <c r="BX8" s="103"/>
      <c r="BY8" s="99"/>
      <c r="BZ8" s="103"/>
    </row>
    <row r="9" spans="1:93" s="3" customFormat="1" ht="15.75" customHeight="1">
      <c r="B9" s="1"/>
      <c r="C9" s="15" t="s">
        <v>1</v>
      </c>
      <c r="D9" s="20" t="s">
        <v>1</v>
      </c>
      <c r="E9" s="157"/>
      <c r="F9" s="17" t="s">
        <v>2</v>
      </c>
      <c r="G9" s="15" t="s">
        <v>2</v>
      </c>
      <c r="H9" s="94"/>
      <c r="I9" s="15" t="s">
        <v>1</v>
      </c>
      <c r="J9" s="16" t="s">
        <v>1</v>
      </c>
      <c r="K9" s="157"/>
      <c r="L9" s="20" t="str">
        <f>$D$3</f>
        <v>inches</v>
      </c>
      <c r="M9" s="20" t="str">
        <f>$D$3</f>
        <v>inches</v>
      </c>
      <c r="N9" s="9"/>
      <c r="O9" s="15" t="s">
        <v>1</v>
      </c>
      <c r="P9" s="16" t="s">
        <v>1</v>
      </c>
      <c r="Q9" s="157"/>
      <c r="R9" s="20" t="str">
        <f>$D$3</f>
        <v>inches</v>
      </c>
      <c r="S9" s="20" t="str">
        <f>$D$3</f>
        <v>inches</v>
      </c>
      <c r="T9" s="1"/>
      <c r="U9" s="12" t="s">
        <v>1</v>
      </c>
      <c r="V9" s="14" t="s">
        <v>1</v>
      </c>
      <c r="W9" s="150"/>
      <c r="X9" s="20" t="str">
        <f>$D$3</f>
        <v>inches</v>
      </c>
      <c r="Y9" s="12" t="s">
        <v>2</v>
      </c>
      <c r="AA9" s="12" t="s">
        <v>1</v>
      </c>
      <c r="AB9" s="22" t="s">
        <v>1</v>
      </c>
      <c r="AC9" s="150"/>
      <c r="AD9" s="20" t="str">
        <f>$D$3</f>
        <v>inches</v>
      </c>
      <c r="AE9" s="20" t="str">
        <f>$D$3</f>
        <v>inches</v>
      </c>
      <c r="AF9" s="1"/>
      <c r="AG9" s="15" t="s">
        <v>1</v>
      </c>
      <c r="AH9" s="20" t="s">
        <v>1</v>
      </c>
      <c r="AI9" s="88"/>
      <c r="AJ9" s="20" t="str">
        <f>$D$3</f>
        <v>inches</v>
      </c>
      <c r="AK9" s="20" t="str">
        <f>$D$3</f>
        <v>inches</v>
      </c>
      <c r="AL9" s="1"/>
      <c r="AM9" s="15" t="s">
        <v>1</v>
      </c>
      <c r="AN9" s="46" t="s">
        <v>1</v>
      </c>
      <c r="AO9" s="157"/>
      <c r="AP9" s="20" t="str">
        <f>$D$3</f>
        <v>inches</v>
      </c>
      <c r="AQ9" s="20" t="str">
        <f>$D$3</f>
        <v>inches</v>
      </c>
      <c r="AR9" s="1"/>
      <c r="AS9" s="15" t="s">
        <v>1</v>
      </c>
      <c r="AT9" s="88" t="s">
        <v>1</v>
      </c>
      <c r="AU9" s="89"/>
      <c r="AV9" s="20" t="str">
        <f>$D$3</f>
        <v>inches</v>
      </c>
      <c r="AW9" s="20" t="str">
        <f>$D$3</f>
        <v>inches</v>
      </c>
      <c r="AX9" s="1"/>
      <c r="AY9" s="12" t="s">
        <v>1</v>
      </c>
      <c r="AZ9" s="45" t="s">
        <v>1</v>
      </c>
      <c r="BA9" s="158"/>
      <c r="BB9" s="20" t="str">
        <f>$D$3</f>
        <v>inches</v>
      </c>
      <c r="BC9" s="20" t="str">
        <f>$D$3</f>
        <v>inches</v>
      </c>
      <c r="BD9" s="1"/>
      <c r="BE9" s="12" t="s">
        <v>1</v>
      </c>
      <c r="BF9" s="45" t="s">
        <v>1</v>
      </c>
      <c r="BG9" s="158"/>
      <c r="BH9" s="20" t="str">
        <f>$D$3</f>
        <v>inches</v>
      </c>
      <c r="BI9" s="20" t="str">
        <f>$D$3</f>
        <v>inches</v>
      </c>
      <c r="BK9" s="12" t="s">
        <v>1</v>
      </c>
      <c r="BL9" s="45" t="s">
        <v>1</v>
      </c>
      <c r="BM9" s="150"/>
      <c r="BN9" s="20" t="str">
        <f>$D$3</f>
        <v>inches</v>
      </c>
      <c r="BO9" s="20" t="str">
        <f>$D$3</f>
        <v>inches</v>
      </c>
      <c r="BV9" s="1"/>
      <c r="BW9" s="1"/>
      <c r="BX9" s="1"/>
      <c r="BY9" s="1"/>
      <c r="BZ9" s="1"/>
      <c r="CA9" s="156"/>
      <c r="CB9" s="156"/>
      <c r="CC9" s="156"/>
      <c r="CD9" s="156"/>
      <c r="CE9" s="156"/>
      <c r="CF9" s="156"/>
    </row>
    <row r="10" spans="1:93" ht="18" customHeight="1">
      <c r="C10" s="8">
        <v>0</v>
      </c>
      <c r="D10" s="5">
        <f>SQRT(C10)</f>
        <v>0</v>
      </c>
      <c r="E10" s="24">
        <v>0</v>
      </c>
      <c r="F10" s="8">
        <f>E10*E$1</f>
        <v>0</v>
      </c>
      <c r="G10" s="84">
        <f t="shared" ref="G10:G23" si="0">D$2-F10</f>
        <v>27</v>
      </c>
      <c r="I10" s="8">
        <v>0</v>
      </c>
      <c r="J10" s="5">
        <f t="shared" ref="J10:J23" si="1">SQRT(I10)</f>
        <v>0</v>
      </c>
      <c r="K10" s="5">
        <f>IF(I7&lt;C7,  $BS$4,MAX(E10:E28))</f>
        <v>169</v>
      </c>
      <c r="L10" s="8">
        <f t="shared" ref="L10:L23" si="2">K10*E$1</f>
        <v>1.6900000000000002E-2</v>
      </c>
      <c r="M10" s="84">
        <f>IF(I7&lt;C7,  $BT$4,MIN(G10:G28))</f>
        <v>26.9831</v>
      </c>
      <c r="N10" s="92"/>
      <c r="O10" s="8">
        <v>0</v>
      </c>
      <c r="P10" s="5">
        <f t="shared" ref="P10:P25" si="3">SQRT(O10)</f>
        <v>0</v>
      </c>
      <c r="Q10" s="5">
        <f>IF(O7&lt;I7,  $BS$4,MAX(K10:K28))</f>
        <v>255</v>
      </c>
      <c r="R10" s="8">
        <f t="shared" ref="R10:R27" si="4">Q10*E$1</f>
        <v>2.5500000000000002E-2</v>
      </c>
      <c r="S10" s="84">
        <f>IF(O7&lt;I7,  $BT$4,MIN(M10:M28))</f>
        <v>26.974499999999999</v>
      </c>
      <c r="T10" s="92"/>
      <c r="U10" s="8">
        <v>0</v>
      </c>
      <c r="V10" s="5">
        <f t="shared" ref="V10:V24" si="5">SQRT(U10)</f>
        <v>0</v>
      </c>
      <c r="W10" s="5">
        <f>IF(U7&lt;O7,  $BS$4,MAX(Q10:Q28))</f>
        <v>304</v>
      </c>
      <c r="X10" s="8">
        <f t="shared" ref="X10:X24" si="6">W10*E$1</f>
        <v>3.04E-2</v>
      </c>
      <c r="Y10" s="84">
        <f>IF(U7&lt;O7,  $BT$4,MIN(S10:S28))</f>
        <v>26.9696</v>
      </c>
      <c r="Z10" s="92"/>
      <c r="AA10" s="8">
        <v>0</v>
      </c>
      <c r="AB10" s="5">
        <f t="shared" ref="AB10:AB21" si="7">SQRT(AA10)</f>
        <v>0</v>
      </c>
      <c r="AC10" s="5">
        <f>IF(AA7&lt;U7,  $BS$4,MAX(W10:W28))</f>
        <v>440.5</v>
      </c>
      <c r="AD10" s="137">
        <f>AC10*E$1</f>
        <v>4.4049999999999999E-2</v>
      </c>
      <c r="AE10" s="84">
        <f>IF(AA7&lt;U7,  $BT$4,MIN(Y10:Y28))</f>
        <v>26.955950000000001</v>
      </c>
      <c r="AF10" s="92"/>
      <c r="AG10" s="8">
        <v>0</v>
      </c>
      <c r="AH10" s="5">
        <f>SQRT(AG10)</f>
        <v>0</v>
      </c>
      <c r="AI10" s="5">
        <f>IF(AG7&lt;AA7,  $BS$4,MAX(AC10:AC28))</f>
        <v>442.4</v>
      </c>
      <c r="AJ10" s="8">
        <f t="shared" ref="AJ10:AJ21" si="8">AI10*E$1</f>
        <v>4.4240000000000002E-2</v>
      </c>
      <c r="AK10" s="84">
        <f>IF(AG7&lt;AA7,  $BT$4,MIN(AE10:AE28))</f>
        <v>26.955760000000001</v>
      </c>
      <c r="AL10" s="92"/>
      <c r="AM10" s="8">
        <v>0</v>
      </c>
      <c r="AN10" s="5">
        <f t="shared" ref="AN10:AN21" si="9">SQRT(AM10)</f>
        <v>0</v>
      </c>
      <c r="AO10" s="5">
        <f>IF(AM7&lt;AG7,  $BS$4,MAX(AI10:AI28))</f>
        <v>446.5</v>
      </c>
      <c r="AP10" s="8">
        <f t="shared" ref="AP10:AP21" si="10">AO10*E$1</f>
        <v>4.4650000000000002E-2</v>
      </c>
      <c r="AQ10" s="84">
        <f>IF(AM7&lt;AG7,  $BT$4,MIN(AK10:AK28))</f>
        <v>26.955349999999999</v>
      </c>
      <c r="AR10" s="92"/>
      <c r="AS10" s="8">
        <v>0</v>
      </c>
      <c r="AT10" s="5">
        <f t="shared" ref="AT10:AT23" si="11">SQRT(AS10)</f>
        <v>0</v>
      </c>
      <c r="AU10" s="5">
        <f>IF(AS7&lt;AM7,  $BS$4,MAX(AO10:AO28))</f>
        <v>500</v>
      </c>
      <c r="AV10" s="8">
        <f t="shared" ref="AV10:AV23" si="12">AU10*E$1</f>
        <v>0.05</v>
      </c>
      <c r="AW10" s="84">
        <f>IF(AS7&lt;AM7,  $BT$4,MIN(AQ10:AQ28))</f>
        <v>26.95</v>
      </c>
      <c r="AX10" s="92"/>
      <c r="AY10" s="8">
        <v>0</v>
      </c>
      <c r="AZ10" s="5">
        <f t="shared" ref="AZ10:AZ21" si="13">SQRT(AY10)</f>
        <v>0</v>
      </c>
      <c r="BA10" s="5">
        <f>IF(AY7&lt;AS7,  $BS$4,MAX(AU10:AU28))</f>
        <v>652</v>
      </c>
      <c r="BB10" s="8">
        <f t="shared" ref="BB10:BB21" si="14">BA10*E$1</f>
        <v>6.5200000000000008E-2</v>
      </c>
      <c r="BC10" s="84">
        <f>IF(AY7&lt;AS7,  $BT$4,MIN(AW10:AW28))</f>
        <v>26.934799999999999</v>
      </c>
      <c r="BE10" s="8">
        <v>0</v>
      </c>
      <c r="BF10" s="5">
        <f t="shared" ref="BF10:BF23" si="15">SQRT(BE10)</f>
        <v>0</v>
      </c>
      <c r="BG10" s="5">
        <f>IF(BE7&lt;AY7,  $BS$4,MAX(BA10:BA28))</f>
        <v>867</v>
      </c>
      <c r="BH10" s="8">
        <f t="shared" ref="BH10:BH23" si="16">BG10*E$1</f>
        <v>8.6699999999999999E-2</v>
      </c>
      <c r="BI10" s="84">
        <f>IF(BE7&lt;AY7,  $BT$4,MIN(BC10:BC28))</f>
        <v>26.9133</v>
      </c>
      <c r="BK10" s="8">
        <v>0</v>
      </c>
      <c r="BL10" s="5">
        <f t="shared" ref="BL10:BL23" si="17">SQRT(BK10)</f>
        <v>0</v>
      </c>
      <c r="BM10" s="5">
        <f>IF(BK7&lt;BE7,  $BS$4,MAX(BG10:BG28))</f>
        <v>440.5</v>
      </c>
      <c r="BN10" s="8">
        <f t="shared" ref="BN10:BN23" si="18">BM10*E$1</f>
        <v>4.4049999999999999E-2</v>
      </c>
      <c r="BO10" s="84">
        <f>IF(BK7&lt;BE7,  $BT$4,MIN(BI10:BI28))</f>
        <v>26.955950000000001</v>
      </c>
      <c r="CA10" s="3"/>
      <c r="CB10" s="3"/>
      <c r="CC10" s="3"/>
      <c r="CD10" s="3"/>
      <c r="CE10" s="3"/>
      <c r="CF10" s="3"/>
      <c r="CG10" s="3"/>
      <c r="CI10" s="3"/>
      <c r="CJ10" s="3"/>
      <c r="CK10" s="3"/>
      <c r="CL10" s="3"/>
      <c r="CM10" s="3"/>
      <c r="CN10" s="3"/>
      <c r="CO10" s="3"/>
    </row>
    <row r="11" spans="1:93" ht="18" customHeight="1">
      <c r="C11" s="8">
        <v>0.1</v>
      </c>
      <c r="D11" s="5">
        <f t="shared" ref="D11:D23" si="19">SQRT(C11)</f>
        <v>0.31622776601683794</v>
      </c>
      <c r="E11" s="26">
        <v>13</v>
      </c>
      <c r="F11" s="8">
        <f t="shared" ref="F11:F23" si="20">E11*E$1</f>
        <v>1.3000000000000002E-3</v>
      </c>
      <c r="G11" s="84">
        <f t="shared" si="0"/>
        <v>26.998699999999999</v>
      </c>
      <c r="I11" s="8">
        <v>0.1</v>
      </c>
      <c r="J11" s="5">
        <f t="shared" si="1"/>
        <v>0.31622776601683794</v>
      </c>
      <c r="K11" s="27">
        <v>175</v>
      </c>
      <c r="L11" s="8">
        <f t="shared" si="2"/>
        <v>1.7500000000000002E-2</v>
      </c>
      <c r="M11" s="84">
        <f t="shared" ref="M11:M23" si="21">D$2-L11</f>
        <v>26.982500000000002</v>
      </c>
      <c r="N11" s="92"/>
      <c r="O11" s="8">
        <v>0.1</v>
      </c>
      <c r="P11" s="5">
        <f t="shared" si="3"/>
        <v>0.31622776601683794</v>
      </c>
      <c r="Q11" s="26">
        <v>255.5</v>
      </c>
      <c r="R11" s="8">
        <f t="shared" si="4"/>
        <v>2.555E-2</v>
      </c>
      <c r="S11" s="84">
        <f t="shared" ref="S11:S27" si="22">D$2-R11</f>
        <v>26.974450000000001</v>
      </c>
      <c r="T11" s="92"/>
      <c r="U11" s="8">
        <v>0.06</v>
      </c>
      <c r="V11" s="5">
        <f t="shared" si="5"/>
        <v>0.2449489742783178</v>
      </c>
      <c r="W11" s="25">
        <v>319</v>
      </c>
      <c r="X11" s="8">
        <f t="shared" si="6"/>
        <v>3.1900000000000005E-2</v>
      </c>
      <c r="Y11" s="84">
        <f t="shared" ref="Y11:Y24" si="23">D$2-X11</f>
        <v>26.9681</v>
      </c>
      <c r="Z11" s="92"/>
      <c r="AA11" s="8">
        <v>0.1</v>
      </c>
      <c r="AB11" s="5">
        <f t="shared" si="7"/>
        <v>0.31622776601683794</v>
      </c>
      <c r="AC11" s="11">
        <v>440.7</v>
      </c>
      <c r="AD11" s="8">
        <f t="shared" ref="AD11:AD21" si="24">AC11*E$1</f>
        <v>4.4069999999999998E-2</v>
      </c>
      <c r="AE11" s="84">
        <f t="shared" ref="AE11:AE21" si="25">D$2-AD11</f>
        <v>26.955929999999999</v>
      </c>
      <c r="AF11" s="92"/>
      <c r="AG11" s="8">
        <v>0.1</v>
      </c>
      <c r="AH11" s="5">
        <f>SQRT(AG11)</f>
        <v>0.31622776601683794</v>
      </c>
      <c r="AI11" s="138">
        <v>442.9</v>
      </c>
      <c r="AJ11" s="8">
        <f t="shared" si="8"/>
        <v>4.4290000000000003E-2</v>
      </c>
      <c r="AK11" s="84">
        <f t="shared" ref="AK11:AK21" si="26">D$2-AJ11</f>
        <v>26.95571</v>
      </c>
      <c r="AL11" s="92"/>
      <c r="AM11" s="8">
        <v>0.1</v>
      </c>
      <c r="AN11" s="5">
        <f t="shared" si="9"/>
        <v>0.31622776601683794</v>
      </c>
      <c r="AO11" s="25">
        <v>447.5</v>
      </c>
      <c r="AP11" s="8">
        <f t="shared" si="10"/>
        <v>4.4750000000000005E-2</v>
      </c>
      <c r="AQ11" s="84">
        <f t="shared" ref="AQ11:AQ21" si="27">D$2-AP11</f>
        <v>26.955249999999999</v>
      </c>
      <c r="AR11" s="92"/>
      <c r="AS11" s="8">
        <v>0.1</v>
      </c>
      <c r="AT11" s="5">
        <f t="shared" si="11"/>
        <v>0.31622776601683794</v>
      </c>
      <c r="AU11" s="26">
        <v>510</v>
      </c>
      <c r="AV11" s="8">
        <f t="shared" si="12"/>
        <v>5.1000000000000004E-2</v>
      </c>
      <c r="AW11" s="84">
        <f t="shared" ref="AW11:AW22" si="28">D$2-AV11</f>
        <v>26.949000000000002</v>
      </c>
      <c r="AX11" s="92"/>
      <c r="AY11" s="8">
        <v>0.1</v>
      </c>
      <c r="AZ11" s="5">
        <f t="shared" si="13"/>
        <v>0.31622776601683794</v>
      </c>
      <c r="BA11" s="25">
        <v>672</v>
      </c>
      <c r="BB11" s="8">
        <f t="shared" si="14"/>
        <v>6.720000000000001E-2</v>
      </c>
      <c r="BC11" s="84">
        <f>D$2-BB11</f>
        <v>26.9328</v>
      </c>
      <c r="BE11" s="8">
        <v>0.1</v>
      </c>
      <c r="BF11" s="5">
        <f t="shared" si="15"/>
        <v>0.31622776601683794</v>
      </c>
      <c r="BG11" s="25">
        <v>877</v>
      </c>
      <c r="BH11" s="8">
        <f t="shared" si="16"/>
        <v>8.77E-2</v>
      </c>
      <c r="BI11" s="84">
        <f t="shared" ref="BI11:BI23" si="29">D$2-BH11</f>
        <v>26.912299999999998</v>
      </c>
      <c r="BK11" s="8">
        <v>0.1</v>
      </c>
      <c r="BL11" s="5">
        <f t="shared" si="17"/>
        <v>0.31622776601683794</v>
      </c>
      <c r="BM11" s="25">
        <v>877</v>
      </c>
      <c r="BN11" s="8">
        <f t="shared" si="18"/>
        <v>8.77E-2</v>
      </c>
      <c r="BO11" s="84">
        <f t="shared" ref="BO11:BO23" si="30">D$2-BN11</f>
        <v>26.912299999999998</v>
      </c>
      <c r="BP11" s="40"/>
      <c r="BQ11" s="101"/>
      <c r="BR11" s="40"/>
      <c r="CD11" s="95"/>
      <c r="CI11" s="100"/>
      <c r="CJ11" s="100"/>
      <c r="CK11" s="100"/>
      <c r="CL11" s="100"/>
      <c r="CM11" s="100"/>
      <c r="CN11" s="100"/>
      <c r="CO11" s="100"/>
    </row>
    <row r="12" spans="1:93" ht="18" customHeight="1">
      <c r="A12" s="140" t="s">
        <v>100</v>
      </c>
      <c r="B12" s="141"/>
      <c r="C12" s="8">
        <v>0.25</v>
      </c>
      <c r="D12" s="5">
        <f t="shared" si="19"/>
        <v>0.5</v>
      </c>
      <c r="E12" s="27">
        <v>18</v>
      </c>
      <c r="F12" s="8">
        <f t="shared" si="20"/>
        <v>1.8000000000000002E-3</v>
      </c>
      <c r="G12" s="84">
        <f t="shared" si="0"/>
        <v>26.998200000000001</v>
      </c>
      <c r="I12" s="8">
        <v>0.25</v>
      </c>
      <c r="J12" s="5">
        <f t="shared" si="1"/>
        <v>0.5</v>
      </c>
      <c r="K12" s="27">
        <v>177</v>
      </c>
      <c r="L12" s="8">
        <f t="shared" si="2"/>
        <v>1.77E-2</v>
      </c>
      <c r="M12" s="84">
        <f t="shared" si="21"/>
        <v>26.982299999999999</v>
      </c>
      <c r="N12" s="92"/>
      <c r="O12" s="8">
        <v>0.25</v>
      </c>
      <c r="P12" s="5">
        <f t="shared" si="3"/>
        <v>0.5</v>
      </c>
      <c r="Q12" s="27">
        <v>256</v>
      </c>
      <c r="R12" s="8">
        <f t="shared" si="4"/>
        <v>2.5600000000000001E-2</v>
      </c>
      <c r="S12" s="84">
        <f t="shared" si="22"/>
        <v>26.974399999999999</v>
      </c>
      <c r="T12" s="92"/>
      <c r="U12" s="8">
        <v>0.15</v>
      </c>
      <c r="V12" s="5">
        <f t="shared" si="5"/>
        <v>0.3872983346207417</v>
      </c>
      <c r="W12" s="11">
        <v>328</v>
      </c>
      <c r="X12" s="8">
        <f t="shared" si="6"/>
        <v>3.2800000000000003E-2</v>
      </c>
      <c r="Y12" s="84">
        <f t="shared" si="23"/>
        <v>26.967199999999998</v>
      </c>
      <c r="Z12" s="92"/>
      <c r="AA12" s="8">
        <v>0.25</v>
      </c>
      <c r="AB12" s="5">
        <f t="shared" si="7"/>
        <v>0.5</v>
      </c>
      <c r="AC12" s="11">
        <v>441</v>
      </c>
      <c r="AD12" s="8">
        <f t="shared" si="24"/>
        <v>4.41E-2</v>
      </c>
      <c r="AE12" s="84">
        <f t="shared" si="25"/>
        <v>26.9559</v>
      </c>
      <c r="AF12" s="92"/>
      <c r="AG12" s="8">
        <v>0.25</v>
      </c>
      <c r="AH12" s="5">
        <f t="shared" ref="AH12:AH21" si="31">SQRT(AG12)</f>
        <v>0.5</v>
      </c>
      <c r="AI12" s="139">
        <v>443.4</v>
      </c>
      <c r="AJ12" s="8">
        <f t="shared" si="8"/>
        <v>4.4339999999999997E-2</v>
      </c>
      <c r="AK12" s="84">
        <f t="shared" si="26"/>
        <v>26.955660000000002</v>
      </c>
      <c r="AL12" s="92"/>
      <c r="AM12" s="8">
        <v>0.25</v>
      </c>
      <c r="AN12" s="5">
        <f t="shared" si="9"/>
        <v>0.5</v>
      </c>
      <c r="AO12" s="11">
        <v>448.6</v>
      </c>
      <c r="AP12" s="8">
        <f t="shared" si="10"/>
        <v>4.4860000000000004E-2</v>
      </c>
      <c r="AQ12" s="84">
        <f t="shared" si="27"/>
        <v>26.95514</v>
      </c>
      <c r="AR12" s="92"/>
      <c r="AS12" s="8">
        <v>0.25</v>
      </c>
      <c r="AT12" s="5">
        <f t="shared" si="11"/>
        <v>0.5</v>
      </c>
      <c r="AU12" s="27">
        <v>518</v>
      </c>
      <c r="AV12" s="8">
        <f t="shared" si="12"/>
        <v>5.1800000000000006E-2</v>
      </c>
      <c r="AW12" s="84">
        <f t="shared" si="28"/>
        <v>26.9482</v>
      </c>
      <c r="AX12" s="92"/>
      <c r="AY12" s="8">
        <v>0.25</v>
      </c>
      <c r="AZ12" s="5">
        <f t="shared" si="13"/>
        <v>0.5</v>
      </c>
      <c r="BA12" s="11">
        <v>687</v>
      </c>
      <c r="BB12" s="8">
        <f t="shared" si="14"/>
        <v>6.8699999999999997E-2</v>
      </c>
      <c r="BC12" s="84">
        <f t="shared" ref="BC12:BC21" si="32">D$2-BB12</f>
        <v>26.9313</v>
      </c>
      <c r="BE12" s="8">
        <v>0.25</v>
      </c>
      <c r="BF12" s="5">
        <f t="shared" si="15"/>
        <v>0.5</v>
      </c>
      <c r="BG12" s="11">
        <v>893</v>
      </c>
      <c r="BH12" s="8">
        <f t="shared" si="16"/>
        <v>8.9300000000000004E-2</v>
      </c>
      <c r="BI12" s="84">
        <f t="shared" si="29"/>
        <v>26.910699999999999</v>
      </c>
      <c r="BK12" s="8">
        <v>0.25</v>
      </c>
      <c r="BL12" s="5">
        <f t="shared" si="17"/>
        <v>0.5</v>
      </c>
      <c r="BM12" s="11">
        <v>893</v>
      </c>
      <c r="BN12" s="8">
        <f t="shared" si="18"/>
        <v>8.9300000000000004E-2</v>
      </c>
      <c r="BO12" s="84">
        <f t="shared" si="30"/>
        <v>26.910699999999999</v>
      </c>
      <c r="BP12" s="40"/>
      <c r="BQ12" s="101"/>
      <c r="BR12" s="40"/>
      <c r="CA12" s="95"/>
      <c r="CB12" s="95"/>
      <c r="CC12" s="95"/>
      <c r="CD12" s="95"/>
      <c r="CE12" s="95"/>
      <c r="CF12" s="95"/>
      <c r="CG12" s="95"/>
      <c r="CI12" s="100"/>
      <c r="CJ12" s="100"/>
      <c r="CK12" s="100"/>
      <c r="CL12" s="100"/>
      <c r="CM12" s="100"/>
      <c r="CN12" s="100"/>
      <c r="CO12" s="100"/>
    </row>
    <row r="13" spans="1:93" ht="18" customHeight="1">
      <c r="A13" s="140"/>
      <c r="B13" s="141"/>
      <c r="C13" s="8">
        <v>0.5</v>
      </c>
      <c r="D13" s="5">
        <f t="shared" si="19"/>
        <v>0.70710678118654757</v>
      </c>
      <c r="E13" s="27">
        <v>25</v>
      </c>
      <c r="F13" s="8">
        <f t="shared" si="20"/>
        <v>2.5000000000000001E-3</v>
      </c>
      <c r="G13" s="84">
        <f t="shared" si="0"/>
        <v>26.997499999999999</v>
      </c>
      <c r="I13" s="8">
        <v>0.5</v>
      </c>
      <c r="J13" s="5">
        <f t="shared" si="1"/>
        <v>0.70710678118654757</v>
      </c>
      <c r="K13" s="27">
        <v>180.5</v>
      </c>
      <c r="L13" s="8">
        <f t="shared" si="2"/>
        <v>1.805E-2</v>
      </c>
      <c r="M13" s="84">
        <f t="shared" si="21"/>
        <v>26.981950000000001</v>
      </c>
      <c r="N13" s="92"/>
      <c r="O13" s="8">
        <v>0.5</v>
      </c>
      <c r="P13" s="5">
        <f t="shared" si="3"/>
        <v>0.70710678118654757</v>
      </c>
      <c r="Q13" s="27">
        <v>256.5</v>
      </c>
      <c r="R13" s="8">
        <f t="shared" si="4"/>
        <v>2.5650000000000003E-2</v>
      </c>
      <c r="S13" s="84">
        <f t="shared" si="22"/>
        <v>26.974350000000001</v>
      </c>
      <c r="T13" s="92"/>
      <c r="U13" s="8">
        <v>0.3</v>
      </c>
      <c r="V13" s="5">
        <f t="shared" si="5"/>
        <v>0.54772255750516607</v>
      </c>
      <c r="W13" s="11">
        <v>336</v>
      </c>
      <c r="X13" s="8">
        <f t="shared" si="6"/>
        <v>3.3600000000000005E-2</v>
      </c>
      <c r="Y13" s="84">
        <f t="shared" si="23"/>
        <v>26.9664</v>
      </c>
      <c r="Z13" s="92"/>
      <c r="AA13" s="8">
        <v>0.5</v>
      </c>
      <c r="AB13" s="5">
        <f t="shared" si="7"/>
        <v>0.70710678118654757</v>
      </c>
      <c r="AC13" s="11">
        <v>441.2</v>
      </c>
      <c r="AD13" s="8">
        <f t="shared" si="24"/>
        <v>4.4119999999999999E-2</v>
      </c>
      <c r="AE13" s="84">
        <f t="shared" si="25"/>
        <v>26.955880000000001</v>
      </c>
      <c r="AF13" s="92"/>
      <c r="AG13" s="8">
        <v>0.5</v>
      </c>
      <c r="AH13" s="5">
        <f t="shared" si="31"/>
        <v>0.70710678118654757</v>
      </c>
      <c r="AI13" s="139">
        <v>444.4</v>
      </c>
      <c r="AJ13" s="8">
        <f t="shared" si="8"/>
        <v>4.444E-2</v>
      </c>
      <c r="AK13" s="84">
        <f t="shared" si="26"/>
        <v>26.955559999999998</v>
      </c>
      <c r="AL13" s="92"/>
      <c r="AM13" s="8">
        <v>0.5</v>
      </c>
      <c r="AN13" s="5">
        <f t="shared" si="9"/>
        <v>0.70710678118654757</v>
      </c>
      <c r="AO13" s="11">
        <v>449.5</v>
      </c>
      <c r="AP13" s="8">
        <f t="shared" si="10"/>
        <v>4.4950000000000004E-2</v>
      </c>
      <c r="AQ13" s="84">
        <f t="shared" si="27"/>
        <v>26.95505</v>
      </c>
      <c r="AR13" s="92"/>
      <c r="AS13" s="8">
        <v>0.5</v>
      </c>
      <c r="AT13" s="5">
        <f t="shared" si="11"/>
        <v>0.70710678118654757</v>
      </c>
      <c r="AU13" s="27">
        <v>528</v>
      </c>
      <c r="AV13" s="8">
        <f t="shared" si="12"/>
        <v>5.28E-2</v>
      </c>
      <c r="AW13" s="84">
        <f t="shared" si="28"/>
        <v>26.947199999999999</v>
      </c>
      <c r="AX13" s="92"/>
      <c r="AY13" s="8">
        <v>0.5</v>
      </c>
      <c r="AZ13" s="5">
        <f t="shared" si="13"/>
        <v>0.70710678118654757</v>
      </c>
      <c r="BA13" s="11">
        <v>702</v>
      </c>
      <c r="BB13" s="8">
        <f t="shared" si="14"/>
        <v>7.0199999999999999E-2</v>
      </c>
      <c r="BC13" s="84">
        <f t="shared" si="32"/>
        <v>26.9298</v>
      </c>
      <c r="BE13" s="8">
        <v>0.5</v>
      </c>
      <c r="BF13" s="5">
        <f t="shared" si="15"/>
        <v>0.70710678118654757</v>
      </c>
      <c r="BG13" s="11">
        <v>908</v>
      </c>
      <c r="BH13" s="8">
        <f t="shared" si="16"/>
        <v>9.0800000000000006E-2</v>
      </c>
      <c r="BI13" s="84">
        <f t="shared" si="29"/>
        <v>26.909199999999998</v>
      </c>
      <c r="BK13" s="8">
        <v>0.5</v>
      </c>
      <c r="BL13" s="5">
        <f t="shared" si="17"/>
        <v>0.70710678118654757</v>
      </c>
      <c r="BM13" s="11">
        <v>908</v>
      </c>
      <c r="BN13" s="8">
        <f t="shared" si="18"/>
        <v>9.0800000000000006E-2</v>
      </c>
      <c r="BO13" s="84">
        <f t="shared" si="30"/>
        <v>26.909199999999998</v>
      </c>
      <c r="BP13" s="40"/>
      <c r="BQ13" s="101"/>
      <c r="BR13" s="40"/>
      <c r="BU13" s="96"/>
      <c r="CA13" s="95"/>
      <c r="CB13" s="95"/>
      <c r="CC13" s="95"/>
      <c r="CD13" s="95"/>
      <c r="CE13" s="95"/>
      <c r="CF13" s="95"/>
      <c r="CG13" s="95"/>
      <c r="CI13" s="100"/>
      <c r="CJ13" s="100"/>
      <c r="CK13" s="100"/>
      <c r="CL13" s="100"/>
      <c r="CM13" s="100"/>
      <c r="CN13" s="100"/>
      <c r="CO13" s="100"/>
    </row>
    <row r="14" spans="1:93" ht="18" customHeight="1">
      <c r="A14" s="140"/>
      <c r="B14" s="141"/>
      <c r="C14" s="8">
        <v>1</v>
      </c>
      <c r="D14" s="5">
        <f t="shared" si="19"/>
        <v>1</v>
      </c>
      <c r="E14" s="27">
        <v>34</v>
      </c>
      <c r="F14" s="8">
        <f t="shared" si="20"/>
        <v>3.4000000000000002E-3</v>
      </c>
      <c r="G14" s="84">
        <f t="shared" si="0"/>
        <v>26.996600000000001</v>
      </c>
      <c r="I14" s="8">
        <v>1</v>
      </c>
      <c r="J14" s="5">
        <f t="shared" si="1"/>
        <v>1</v>
      </c>
      <c r="K14" s="27">
        <v>184</v>
      </c>
      <c r="L14" s="8">
        <f t="shared" si="2"/>
        <v>1.84E-2</v>
      </c>
      <c r="M14" s="84">
        <f t="shared" si="21"/>
        <v>26.9816</v>
      </c>
      <c r="N14" s="92"/>
      <c r="O14" s="8">
        <v>1</v>
      </c>
      <c r="P14" s="5">
        <f t="shared" si="3"/>
        <v>1</v>
      </c>
      <c r="Q14" s="27">
        <v>257</v>
      </c>
      <c r="R14" s="8">
        <f t="shared" si="4"/>
        <v>2.5700000000000001E-2</v>
      </c>
      <c r="S14" s="84">
        <f t="shared" si="22"/>
        <v>26.974299999999999</v>
      </c>
      <c r="T14" s="92"/>
      <c r="U14" s="8">
        <v>1</v>
      </c>
      <c r="V14" s="5">
        <f t="shared" si="5"/>
        <v>1</v>
      </c>
      <c r="W14" s="11">
        <v>357</v>
      </c>
      <c r="X14" s="8">
        <f t="shared" si="6"/>
        <v>3.5700000000000003E-2</v>
      </c>
      <c r="Y14" s="84">
        <f t="shared" si="23"/>
        <v>26.964300000000001</v>
      </c>
      <c r="Z14" s="92"/>
      <c r="AA14" s="8">
        <v>1</v>
      </c>
      <c r="AB14" s="5">
        <f t="shared" si="7"/>
        <v>1</v>
      </c>
      <c r="AC14" s="11">
        <v>441.5</v>
      </c>
      <c r="AD14" s="8">
        <f t="shared" si="24"/>
        <v>4.4150000000000002E-2</v>
      </c>
      <c r="AE14" s="84">
        <f t="shared" si="25"/>
        <v>26.955850000000002</v>
      </c>
      <c r="AF14" s="92"/>
      <c r="AG14" s="8">
        <v>1</v>
      </c>
      <c r="AH14" s="5">
        <f t="shared" si="31"/>
        <v>1</v>
      </c>
      <c r="AI14" s="139">
        <v>445.1</v>
      </c>
      <c r="AJ14" s="8">
        <f t="shared" si="8"/>
        <v>4.4510000000000001E-2</v>
      </c>
      <c r="AK14" s="84">
        <f t="shared" si="26"/>
        <v>26.955490000000001</v>
      </c>
      <c r="AL14" s="92"/>
      <c r="AM14" s="8">
        <v>1</v>
      </c>
      <c r="AN14" s="5">
        <f t="shared" si="9"/>
        <v>1</v>
      </c>
      <c r="AO14" s="11">
        <v>456.5</v>
      </c>
      <c r="AP14" s="8">
        <f t="shared" si="10"/>
        <v>4.5650000000000003E-2</v>
      </c>
      <c r="AQ14" s="84">
        <f t="shared" si="27"/>
        <v>26.954350000000002</v>
      </c>
      <c r="AR14" s="92"/>
      <c r="AS14" s="8">
        <v>1</v>
      </c>
      <c r="AT14" s="5">
        <f t="shared" si="11"/>
        <v>1</v>
      </c>
      <c r="AU14" s="27">
        <v>542</v>
      </c>
      <c r="AV14" s="8">
        <f t="shared" si="12"/>
        <v>5.4200000000000005E-2</v>
      </c>
      <c r="AW14" s="84">
        <f t="shared" si="28"/>
        <v>26.945799999999998</v>
      </c>
      <c r="AX14" s="92"/>
      <c r="AY14" s="8">
        <v>1</v>
      </c>
      <c r="AZ14" s="5">
        <f t="shared" si="13"/>
        <v>1</v>
      </c>
      <c r="BA14" s="11">
        <v>727</v>
      </c>
      <c r="BB14" s="8">
        <f t="shared" si="14"/>
        <v>7.2700000000000001E-2</v>
      </c>
      <c r="BC14" s="84">
        <f t="shared" si="32"/>
        <v>26.927299999999999</v>
      </c>
      <c r="BE14" s="8">
        <v>1</v>
      </c>
      <c r="BF14" s="5">
        <f t="shared" si="15"/>
        <v>1</v>
      </c>
      <c r="BG14" s="11">
        <v>928</v>
      </c>
      <c r="BH14" s="8">
        <f t="shared" si="16"/>
        <v>9.2800000000000007E-2</v>
      </c>
      <c r="BI14" s="84">
        <f t="shared" si="29"/>
        <v>26.9072</v>
      </c>
      <c r="BK14" s="8">
        <v>1</v>
      </c>
      <c r="BL14" s="5">
        <f t="shared" si="17"/>
        <v>1</v>
      </c>
      <c r="BM14" s="11">
        <v>928</v>
      </c>
      <c r="BN14" s="8">
        <f t="shared" si="18"/>
        <v>9.2800000000000007E-2</v>
      </c>
      <c r="BO14" s="84">
        <f t="shared" si="30"/>
        <v>26.9072</v>
      </c>
      <c r="CA14" s="95"/>
      <c r="CB14" s="95"/>
      <c r="CC14" s="95"/>
      <c r="CD14" s="95"/>
      <c r="CE14" s="95"/>
      <c r="CF14" s="95"/>
      <c r="CG14" s="95"/>
      <c r="CI14" s="100"/>
      <c r="CJ14" s="100"/>
      <c r="CK14" s="100"/>
      <c r="CL14" s="100"/>
      <c r="CM14" s="100"/>
      <c r="CN14" s="100"/>
      <c r="CO14" s="100"/>
    </row>
    <row r="15" spans="1:93" ht="18" customHeight="1">
      <c r="A15" s="140"/>
      <c r="B15" s="141"/>
      <c r="C15" s="8">
        <v>2</v>
      </c>
      <c r="D15" s="5">
        <f t="shared" si="19"/>
        <v>1.4142135623730951</v>
      </c>
      <c r="E15" s="27">
        <v>40</v>
      </c>
      <c r="F15" s="8">
        <f t="shared" si="20"/>
        <v>4.0000000000000001E-3</v>
      </c>
      <c r="G15" s="84">
        <f t="shared" si="0"/>
        <v>26.995999999999999</v>
      </c>
      <c r="I15" s="8">
        <v>2</v>
      </c>
      <c r="J15" s="5">
        <f t="shared" si="1"/>
        <v>1.4142135623730951</v>
      </c>
      <c r="K15" s="27">
        <v>189.5</v>
      </c>
      <c r="L15" s="8">
        <f t="shared" si="2"/>
        <v>1.8950000000000002E-2</v>
      </c>
      <c r="M15" s="84">
        <f t="shared" si="21"/>
        <v>26.98105</v>
      </c>
      <c r="N15" s="92"/>
      <c r="O15" s="8">
        <v>2</v>
      </c>
      <c r="P15" s="5">
        <f t="shared" si="3"/>
        <v>1.4142135623730951</v>
      </c>
      <c r="Q15" s="27">
        <v>257.5</v>
      </c>
      <c r="R15" s="8">
        <f t="shared" si="4"/>
        <v>2.5750000000000002E-2</v>
      </c>
      <c r="S15" s="84">
        <f t="shared" si="22"/>
        <v>26.974250000000001</v>
      </c>
      <c r="T15" s="92"/>
      <c r="U15" s="8">
        <v>2</v>
      </c>
      <c r="V15" s="5">
        <f t="shared" si="5"/>
        <v>1.4142135623730951</v>
      </c>
      <c r="W15" s="11">
        <v>375</v>
      </c>
      <c r="X15" s="8">
        <f t="shared" si="6"/>
        <v>3.7499999999999999E-2</v>
      </c>
      <c r="Y15" s="84">
        <f t="shared" si="23"/>
        <v>26.962499999999999</v>
      </c>
      <c r="Z15" s="92"/>
      <c r="AA15" s="8">
        <v>2</v>
      </c>
      <c r="AB15" s="5">
        <f t="shared" si="7"/>
        <v>1.4142135623730951</v>
      </c>
      <c r="AC15" s="11">
        <v>441.6</v>
      </c>
      <c r="AD15" s="8">
        <f t="shared" si="24"/>
        <v>4.4160000000000005E-2</v>
      </c>
      <c r="AE15" s="84">
        <f t="shared" si="25"/>
        <v>26.955839999999998</v>
      </c>
      <c r="AF15" s="92"/>
      <c r="AG15" s="8">
        <v>2</v>
      </c>
      <c r="AH15" s="5">
        <f t="shared" si="31"/>
        <v>1.4142135623730951</v>
      </c>
      <c r="AI15" s="139">
        <v>445.3</v>
      </c>
      <c r="AJ15" s="8">
        <f t="shared" si="8"/>
        <v>4.453E-2</v>
      </c>
      <c r="AK15" s="84">
        <f t="shared" si="26"/>
        <v>26.955469999999998</v>
      </c>
      <c r="AL15" s="92"/>
      <c r="AM15" s="8">
        <v>2</v>
      </c>
      <c r="AN15" s="5">
        <f t="shared" si="9"/>
        <v>1.4142135623730951</v>
      </c>
      <c r="AO15" s="11">
        <v>465.5</v>
      </c>
      <c r="AP15" s="8">
        <f t="shared" si="10"/>
        <v>4.6550000000000001E-2</v>
      </c>
      <c r="AQ15" s="84">
        <f t="shared" si="27"/>
        <v>26.95345</v>
      </c>
      <c r="AR15" s="92"/>
      <c r="AS15" s="8">
        <v>2</v>
      </c>
      <c r="AT15" s="5">
        <f t="shared" si="11"/>
        <v>1.4142135623730951</v>
      </c>
      <c r="AU15" s="27">
        <v>561.5</v>
      </c>
      <c r="AV15" s="8">
        <f t="shared" si="12"/>
        <v>5.6150000000000005E-2</v>
      </c>
      <c r="AW15" s="84">
        <f t="shared" si="28"/>
        <v>26.943850000000001</v>
      </c>
      <c r="AX15" s="92"/>
      <c r="AY15" s="8">
        <v>2</v>
      </c>
      <c r="AZ15" s="5">
        <f t="shared" si="13"/>
        <v>1.4142135623730951</v>
      </c>
      <c r="BA15" s="11">
        <v>754</v>
      </c>
      <c r="BB15" s="8">
        <f t="shared" si="14"/>
        <v>7.5400000000000009E-2</v>
      </c>
      <c r="BC15" s="84">
        <f t="shared" si="32"/>
        <v>26.924600000000002</v>
      </c>
      <c r="BE15" s="8">
        <v>2</v>
      </c>
      <c r="BF15" s="5">
        <f t="shared" si="15"/>
        <v>1.4142135623730951</v>
      </c>
      <c r="BG15" s="11">
        <v>953</v>
      </c>
      <c r="BH15" s="8">
        <f t="shared" si="16"/>
        <v>9.530000000000001E-2</v>
      </c>
      <c r="BI15" s="84">
        <f t="shared" si="29"/>
        <v>26.904699999999998</v>
      </c>
      <c r="BK15" s="8">
        <v>2</v>
      </c>
      <c r="BL15" s="5">
        <f t="shared" si="17"/>
        <v>1.4142135623730951</v>
      </c>
      <c r="BM15" s="11">
        <v>953</v>
      </c>
      <c r="BN15" s="8">
        <f t="shared" si="18"/>
        <v>9.530000000000001E-2</v>
      </c>
      <c r="BO15" s="84">
        <f t="shared" si="30"/>
        <v>26.904699999999998</v>
      </c>
      <c r="CA15" s="95"/>
      <c r="CB15" s="95"/>
      <c r="CC15" s="95"/>
      <c r="CD15" s="95"/>
      <c r="CE15" s="95"/>
      <c r="CF15" s="95"/>
      <c r="CG15" s="95"/>
      <c r="CI15" s="100"/>
      <c r="CJ15" s="100"/>
      <c r="CK15" s="100"/>
      <c r="CL15" s="100"/>
      <c r="CM15" s="100"/>
      <c r="CN15" s="100"/>
      <c r="CO15" s="100"/>
    </row>
    <row r="16" spans="1:93" ht="18" customHeight="1">
      <c r="A16" s="140"/>
      <c r="B16" s="141"/>
      <c r="C16" s="8">
        <v>4</v>
      </c>
      <c r="D16" s="5">
        <f t="shared" si="19"/>
        <v>2</v>
      </c>
      <c r="E16" s="27">
        <v>54</v>
      </c>
      <c r="F16" s="8">
        <f t="shared" si="20"/>
        <v>5.4000000000000003E-3</v>
      </c>
      <c r="G16" s="84">
        <f t="shared" si="0"/>
        <v>26.994599999999998</v>
      </c>
      <c r="I16" s="8">
        <v>4</v>
      </c>
      <c r="J16" s="5">
        <f t="shared" si="1"/>
        <v>2</v>
      </c>
      <c r="K16" s="27">
        <v>196</v>
      </c>
      <c r="L16" s="8">
        <f t="shared" si="2"/>
        <v>1.9599999999999999E-2</v>
      </c>
      <c r="M16" s="84">
        <f t="shared" si="21"/>
        <v>26.980399999999999</v>
      </c>
      <c r="N16" s="92"/>
      <c r="O16" s="8">
        <v>4</v>
      </c>
      <c r="P16" s="5">
        <f t="shared" si="3"/>
        <v>2</v>
      </c>
      <c r="Q16" s="27">
        <v>258</v>
      </c>
      <c r="R16" s="8">
        <f t="shared" si="4"/>
        <v>2.58E-2</v>
      </c>
      <c r="S16" s="84">
        <f t="shared" si="22"/>
        <v>26.9742</v>
      </c>
      <c r="T16" s="92"/>
      <c r="U16" s="8">
        <v>4</v>
      </c>
      <c r="V16" s="5">
        <f t="shared" si="5"/>
        <v>2</v>
      </c>
      <c r="W16" s="11">
        <v>398</v>
      </c>
      <c r="X16" s="8">
        <f t="shared" si="6"/>
        <v>3.9800000000000002E-2</v>
      </c>
      <c r="Y16" s="84">
        <f t="shared" si="23"/>
        <v>26.9602</v>
      </c>
      <c r="Z16" s="92"/>
      <c r="AA16" s="8">
        <v>4</v>
      </c>
      <c r="AB16" s="5">
        <f t="shared" si="7"/>
        <v>2</v>
      </c>
      <c r="AC16" s="11">
        <v>441.8</v>
      </c>
      <c r="AD16" s="8">
        <f t="shared" si="24"/>
        <v>4.4180000000000004E-2</v>
      </c>
      <c r="AE16" s="84">
        <f t="shared" si="25"/>
        <v>26.955819999999999</v>
      </c>
      <c r="AF16" s="92"/>
      <c r="AG16" s="8">
        <v>4</v>
      </c>
      <c r="AH16" s="5">
        <f t="shared" si="31"/>
        <v>2</v>
      </c>
      <c r="AI16" s="139">
        <v>445.4</v>
      </c>
      <c r="AJ16" s="8">
        <f t="shared" si="8"/>
        <v>4.4540000000000003E-2</v>
      </c>
      <c r="AK16" s="84">
        <f t="shared" si="26"/>
        <v>26.955459999999999</v>
      </c>
      <c r="AL16" s="92"/>
      <c r="AM16" s="8">
        <v>4</v>
      </c>
      <c r="AN16" s="5">
        <f t="shared" si="9"/>
        <v>2</v>
      </c>
      <c r="AO16" s="11">
        <v>473.5</v>
      </c>
      <c r="AP16" s="8">
        <f t="shared" si="10"/>
        <v>4.7350000000000003E-2</v>
      </c>
      <c r="AQ16" s="84">
        <f t="shared" si="27"/>
        <v>26.952649999999998</v>
      </c>
      <c r="AR16" s="92"/>
      <c r="AS16" s="8">
        <v>4</v>
      </c>
      <c r="AT16" s="5">
        <f t="shared" si="11"/>
        <v>2</v>
      </c>
      <c r="AU16" s="27">
        <v>580</v>
      </c>
      <c r="AV16" s="8">
        <f t="shared" si="12"/>
        <v>5.8000000000000003E-2</v>
      </c>
      <c r="AW16" s="84">
        <f t="shared" si="28"/>
        <v>26.942</v>
      </c>
      <c r="AX16" s="92"/>
      <c r="AY16" s="8">
        <v>4</v>
      </c>
      <c r="AZ16" s="5">
        <f t="shared" si="13"/>
        <v>2</v>
      </c>
      <c r="BA16" s="11">
        <v>800.5</v>
      </c>
      <c r="BB16" s="8">
        <f t="shared" si="14"/>
        <v>8.005000000000001E-2</v>
      </c>
      <c r="BC16" s="84">
        <f t="shared" si="32"/>
        <v>26.91995</v>
      </c>
      <c r="BE16" s="8">
        <v>4</v>
      </c>
      <c r="BF16" s="5">
        <f t="shared" si="15"/>
        <v>2</v>
      </c>
      <c r="BG16" s="11">
        <v>983</v>
      </c>
      <c r="BH16" s="8">
        <f t="shared" si="16"/>
        <v>9.8299999999999998E-2</v>
      </c>
      <c r="BI16" s="84">
        <f t="shared" si="29"/>
        <v>26.901700000000002</v>
      </c>
      <c r="BK16" s="8">
        <v>4</v>
      </c>
      <c r="BL16" s="5">
        <f t="shared" si="17"/>
        <v>2</v>
      </c>
      <c r="BM16" s="11">
        <v>983</v>
      </c>
      <c r="BN16" s="8">
        <f t="shared" si="18"/>
        <v>9.8299999999999998E-2</v>
      </c>
      <c r="BO16" s="84">
        <f t="shared" si="30"/>
        <v>26.901700000000002</v>
      </c>
      <c r="CA16" s="95"/>
      <c r="CB16" s="95"/>
      <c r="CC16" s="95"/>
      <c r="CD16" s="95"/>
      <c r="CE16" s="95"/>
      <c r="CF16" s="95"/>
      <c r="CG16" s="95"/>
      <c r="CI16" s="100"/>
      <c r="CJ16" s="100"/>
      <c r="CK16" s="100"/>
      <c r="CL16" s="100"/>
      <c r="CM16" s="100"/>
      <c r="CN16" s="100"/>
      <c r="CO16" s="100"/>
    </row>
    <row r="17" spans="1:93" ht="18" customHeight="1">
      <c r="A17" s="140"/>
      <c r="B17" s="141"/>
      <c r="C17" s="8">
        <v>8</v>
      </c>
      <c r="D17" s="5">
        <f t="shared" si="19"/>
        <v>2.8284271247461903</v>
      </c>
      <c r="E17" s="27">
        <v>77</v>
      </c>
      <c r="F17" s="8">
        <f t="shared" si="20"/>
        <v>7.7000000000000002E-3</v>
      </c>
      <c r="G17" s="84">
        <f t="shared" si="0"/>
        <v>26.9923</v>
      </c>
      <c r="I17" s="8">
        <v>10</v>
      </c>
      <c r="J17" s="5">
        <f t="shared" si="1"/>
        <v>3.1622776601683795</v>
      </c>
      <c r="K17" s="27">
        <v>211</v>
      </c>
      <c r="L17" s="8">
        <f t="shared" si="2"/>
        <v>2.1100000000000001E-2</v>
      </c>
      <c r="M17" s="84">
        <f t="shared" si="21"/>
        <v>26.978899999999999</v>
      </c>
      <c r="N17" s="92"/>
      <c r="O17" s="8">
        <v>8</v>
      </c>
      <c r="P17" s="5">
        <f t="shared" si="3"/>
        <v>2.8284271247461903</v>
      </c>
      <c r="Q17" s="27">
        <v>258.5</v>
      </c>
      <c r="R17" s="8">
        <f t="shared" si="4"/>
        <v>2.5850000000000001E-2</v>
      </c>
      <c r="S17" s="84">
        <f t="shared" si="22"/>
        <v>26.974150000000002</v>
      </c>
      <c r="T17" s="92"/>
      <c r="U17" s="8">
        <v>8</v>
      </c>
      <c r="V17" s="5">
        <f t="shared" si="5"/>
        <v>2.8284271247461903</v>
      </c>
      <c r="W17" s="11">
        <v>428</v>
      </c>
      <c r="X17" s="8">
        <f t="shared" si="6"/>
        <v>4.2800000000000005E-2</v>
      </c>
      <c r="Y17" s="84">
        <f t="shared" si="23"/>
        <v>26.9572</v>
      </c>
      <c r="Z17" s="92"/>
      <c r="AA17" s="8">
        <v>8</v>
      </c>
      <c r="AB17" s="5">
        <f t="shared" si="7"/>
        <v>2.8284271247461903</v>
      </c>
      <c r="AC17" s="11">
        <v>442</v>
      </c>
      <c r="AD17" s="8">
        <f t="shared" si="24"/>
        <v>4.4200000000000003E-2</v>
      </c>
      <c r="AE17" s="84">
        <f t="shared" si="25"/>
        <v>26.9558</v>
      </c>
      <c r="AF17" s="92"/>
      <c r="AG17" s="8">
        <v>8</v>
      </c>
      <c r="AH17" s="5">
        <f t="shared" si="31"/>
        <v>2.8284271247461903</v>
      </c>
      <c r="AI17" s="139">
        <v>445.9</v>
      </c>
      <c r="AJ17" s="8">
        <f t="shared" si="8"/>
        <v>4.4589999999999998E-2</v>
      </c>
      <c r="AK17" s="84">
        <f t="shared" si="26"/>
        <v>26.955410000000001</v>
      </c>
      <c r="AL17" s="92"/>
      <c r="AM17" s="8">
        <v>8</v>
      </c>
      <c r="AN17" s="5">
        <f t="shared" si="9"/>
        <v>2.8284271247461903</v>
      </c>
      <c r="AO17" s="11">
        <v>481</v>
      </c>
      <c r="AP17" s="8">
        <f t="shared" si="10"/>
        <v>4.8100000000000004E-2</v>
      </c>
      <c r="AQ17" s="84">
        <f t="shared" si="27"/>
        <v>26.951899999999998</v>
      </c>
      <c r="AR17" s="92"/>
      <c r="AS17" s="8">
        <v>8</v>
      </c>
      <c r="AT17" s="5">
        <f t="shared" si="11"/>
        <v>2.8284271247461903</v>
      </c>
      <c r="AU17" s="27">
        <v>604</v>
      </c>
      <c r="AV17" s="8">
        <f t="shared" si="12"/>
        <v>6.0400000000000002E-2</v>
      </c>
      <c r="AW17" s="84">
        <f t="shared" si="28"/>
        <v>26.939599999999999</v>
      </c>
      <c r="AX17" s="92"/>
      <c r="AY17" s="8">
        <v>8</v>
      </c>
      <c r="AZ17" s="5">
        <f t="shared" si="13"/>
        <v>2.8284271247461903</v>
      </c>
      <c r="BA17" s="11">
        <v>816</v>
      </c>
      <c r="BB17" s="8">
        <f t="shared" si="14"/>
        <v>8.1600000000000006E-2</v>
      </c>
      <c r="BC17" s="84">
        <f t="shared" si="32"/>
        <v>26.918399999999998</v>
      </c>
      <c r="BE17" s="8">
        <v>8</v>
      </c>
      <c r="BF17" s="5">
        <f t="shared" si="15"/>
        <v>2.8284271247461903</v>
      </c>
      <c r="BG17" s="11">
        <v>1012</v>
      </c>
      <c r="BH17" s="8">
        <f t="shared" si="16"/>
        <v>0.1012</v>
      </c>
      <c r="BI17" s="84">
        <f t="shared" si="29"/>
        <v>26.898800000000001</v>
      </c>
      <c r="BK17" s="8">
        <v>8</v>
      </c>
      <c r="BL17" s="5">
        <f t="shared" si="17"/>
        <v>2.8284271247461903</v>
      </c>
      <c r="BM17" s="11">
        <v>1012</v>
      </c>
      <c r="BN17" s="8">
        <f t="shared" si="18"/>
        <v>0.1012</v>
      </c>
      <c r="BO17" s="84">
        <f t="shared" si="30"/>
        <v>26.898800000000001</v>
      </c>
      <c r="CA17" s="95"/>
      <c r="CB17" s="95"/>
      <c r="CC17" s="95"/>
      <c r="CD17" s="95"/>
      <c r="CE17" s="95"/>
      <c r="CF17" s="95"/>
      <c r="CG17" s="95"/>
      <c r="CI17" s="100"/>
      <c r="CJ17" s="100"/>
      <c r="CK17" s="100"/>
      <c r="CL17" s="100"/>
      <c r="CM17" s="100"/>
      <c r="CN17" s="100"/>
      <c r="CO17" s="100"/>
    </row>
    <row r="18" spans="1:93" ht="18" customHeight="1">
      <c r="A18" s="140"/>
      <c r="B18" s="141"/>
      <c r="C18" s="8">
        <v>15</v>
      </c>
      <c r="D18" s="5">
        <f t="shared" si="19"/>
        <v>3.872983346207417</v>
      </c>
      <c r="E18" s="27">
        <v>90</v>
      </c>
      <c r="F18" s="8">
        <f t="shared" si="20"/>
        <v>9.0000000000000011E-3</v>
      </c>
      <c r="G18" s="84">
        <f t="shared" si="0"/>
        <v>26.991</v>
      </c>
      <c r="I18" s="8">
        <v>15</v>
      </c>
      <c r="J18" s="5">
        <f t="shared" si="1"/>
        <v>3.872983346207417</v>
      </c>
      <c r="K18" s="27">
        <v>215</v>
      </c>
      <c r="L18" s="8">
        <f t="shared" si="2"/>
        <v>2.1500000000000002E-2</v>
      </c>
      <c r="M18" s="84">
        <f t="shared" si="21"/>
        <v>26.9785</v>
      </c>
      <c r="N18" s="92"/>
      <c r="O18" s="8">
        <v>15</v>
      </c>
      <c r="P18" s="5">
        <f t="shared" si="3"/>
        <v>3.872983346207417</v>
      </c>
      <c r="Q18" s="27">
        <v>262.5</v>
      </c>
      <c r="R18" s="8">
        <f t="shared" si="4"/>
        <v>2.6250000000000002E-2</v>
      </c>
      <c r="S18" s="84">
        <f t="shared" si="22"/>
        <v>26.973749999999999</v>
      </c>
      <c r="T18" s="92"/>
      <c r="U18" s="8">
        <v>15</v>
      </c>
      <c r="V18" s="5">
        <f t="shared" si="5"/>
        <v>3.872983346207417</v>
      </c>
      <c r="W18" s="11">
        <v>453</v>
      </c>
      <c r="X18" s="8">
        <f t="shared" si="6"/>
        <v>4.53E-2</v>
      </c>
      <c r="Y18" s="84">
        <f t="shared" si="23"/>
        <v>26.954699999999999</v>
      </c>
      <c r="Z18" s="92"/>
      <c r="AA18" s="8">
        <v>15</v>
      </c>
      <c r="AB18" s="5">
        <f t="shared" si="7"/>
        <v>3.872983346207417</v>
      </c>
      <c r="AC18" s="11">
        <v>442.1</v>
      </c>
      <c r="AD18" s="8">
        <f t="shared" si="24"/>
        <v>4.4210000000000006E-2</v>
      </c>
      <c r="AE18" s="84">
        <f t="shared" si="25"/>
        <v>26.95579</v>
      </c>
      <c r="AF18" s="92"/>
      <c r="AG18" s="8">
        <v>15</v>
      </c>
      <c r="AH18" s="5">
        <f t="shared" si="31"/>
        <v>3.872983346207417</v>
      </c>
      <c r="AI18" s="139">
        <v>446.3</v>
      </c>
      <c r="AJ18" s="8">
        <f t="shared" si="8"/>
        <v>4.4630000000000003E-2</v>
      </c>
      <c r="AK18" s="84">
        <f t="shared" si="26"/>
        <v>26.955369999999998</v>
      </c>
      <c r="AL18" s="92"/>
      <c r="AM18" s="8">
        <v>17</v>
      </c>
      <c r="AN18" s="5">
        <f t="shared" si="9"/>
        <v>4.1231056256176606</v>
      </c>
      <c r="AO18" s="11">
        <v>485.5</v>
      </c>
      <c r="AP18" s="8">
        <f t="shared" si="10"/>
        <v>4.8550000000000003E-2</v>
      </c>
      <c r="AQ18" s="84">
        <f t="shared" si="27"/>
        <v>26.951450000000001</v>
      </c>
      <c r="AR18" s="92"/>
      <c r="AS18" s="8">
        <v>15</v>
      </c>
      <c r="AT18" s="5">
        <f t="shared" si="11"/>
        <v>3.872983346207417</v>
      </c>
      <c r="AU18" s="27">
        <v>619.5</v>
      </c>
      <c r="AV18" s="8">
        <f t="shared" si="12"/>
        <v>6.1950000000000005E-2</v>
      </c>
      <c r="AW18" s="84">
        <f t="shared" si="28"/>
        <v>26.93805</v>
      </c>
      <c r="AX18" s="92"/>
      <c r="AY18" s="8">
        <v>15</v>
      </c>
      <c r="AZ18" s="5">
        <f t="shared" si="13"/>
        <v>3.872983346207417</v>
      </c>
      <c r="BA18" s="11">
        <v>836.5</v>
      </c>
      <c r="BB18" s="8">
        <f t="shared" si="14"/>
        <v>8.3650000000000002E-2</v>
      </c>
      <c r="BC18" s="84">
        <f t="shared" si="32"/>
        <v>26.916350000000001</v>
      </c>
      <c r="BE18" s="8">
        <v>15</v>
      </c>
      <c r="BF18" s="5">
        <f t="shared" si="15"/>
        <v>3.872983346207417</v>
      </c>
      <c r="BG18" s="11">
        <v>1027</v>
      </c>
      <c r="BH18" s="8">
        <f t="shared" si="16"/>
        <v>0.1027</v>
      </c>
      <c r="BI18" s="84">
        <f t="shared" si="29"/>
        <v>26.897300000000001</v>
      </c>
      <c r="BK18" s="8">
        <v>15</v>
      </c>
      <c r="BL18" s="5">
        <f t="shared" si="17"/>
        <v>3.872983346207417</v>
      </c>
      <c r="BM18" s="11">
        <v>1027</v>
      </c>
      <c r="BN18" s="8">
        <f t="shared" si="18"/>
        <v>0.1027</v>
      </c>
      <c r="BO18" s="84">
        <f t="shared" si="30"/>
        <v>26.897300000000001</v>
      </c>
      <c r="CA18" s="95"/>
      <c r="CB18" s="95"/>
      <c r="CC18" s="95"/>
      <c r="CD18" s="95"/>
      <c r="CE18" s="95"/>
      <c r="CF18" s="95"/>
      <c r="CG18" s="95"/>
      <c r="CI18" s="100"/>
      <c r="CJ18" s="100"/>
      <c r="CK18" s="100"/>
      <c r="CL18" s="100"/>
      <c r="CM18" s="100"/>
      <c r="CN18" s="100"/>
      <c r="CO18" s="100"/>
    </row>
    <row r="19" spans="1:93" ht="18" customHeight="1">
      <c r="C19" s="8">
        <v>30</v>
      </c>
      <c r="D19" s="5">
        <f t="shared" si="19"/>
        <v>5.4772255750516612</v>
      </c>
      <c r="E19" s="27">
        <v>126</v>
      </c>
      <c r="F19" s="8">
        <f t="shared" si="20"/>
        <v>1.26E-2</v>
      </c>
      <c r="G19" s="84">
        <f t="shared" si="0"/>
        <v>26.987400000000001</v>
      </c>
      <c r="I19" s="8">
        <v>31</v>
      </c>
      <c r="J19" s="5">
        <f t="shared" si="1"/>
        <v>5.5677643628300215</v>
      </c>
      <c r="K19" s="27">
        <v>227</v>
      </c>
      <c r="L19" s="8">
        <f t="shared" si="2"/>
        <v>2.2700000000000001E-2</v>
      </c>
      <c r="M19" s="84">
        <f t="shared" si="21"/>
        <v>26.9773</v>
      </c>
      <c r="N19" s="92"/>
      <c r="O19" s="8">
        <v>30</v>
      </c>
      <c r="P19" s="5">
        <f t="shared" si="3"/>
        <v>5.4772255750516612</v>
      </c>
      <c r="Q19" s="27">
        <v>283</v>
      </c>
      <c r="R19" s="8">
        <f t="shared" si="4"/>
        <v>2.8300000000000002E-2</v>
      </c>
      <c r="S19" s="84">
        <f t="shared" si="22"/>
        <v>26.971699999999998</v>
      </c>
      <c r="T19" s="92"/>
      <c r="U19" s="8">
        <v>30</v>
      </c>
      <c r="V19" s="5">
        <f t="shared" si="5"/>
        <v>5.4772255750516612</v>
      </c>
      <c r="W19" s="11">
        <v>464</v>
      </c>
      <c r="X19" s="8">
        <f t="shared" si="6"/>
        <v>4.6400000000000004E-2</v>
      </c>
      <c r="Y19" s="84">
        <f t="shared" si="23"/>
        <v>26.953600000000002</v>
      </c>
      <c r="Z19" s="92"/>
      <c r="AA19" s="8">
        <v>30</v>
      </c>
      <c r="AB19" s="5">
        <f t="shared" si="7"/>
        <v>5.4772255750516612</v>
      </c>
      <c r="AC19" s="11">
        <v>442.4</v>
      </c>
      <c r="AD19" s="8">
        <f t="shared" si="24"/>
        <v>4.4240000000000002E-2</v>
      </c>
      <c r="AE19" s="84">
        <f t="shared" si="25"/>
        <v>26.955760000000001</v>
      </c>
      <c r="AF19" s="92"/>
      <c r="AG19" s="8">
        <v>30</v>
      </c>
      <c r="AH19" s="5">
        <f t="shared" si="31"/>
        <v>5.4772255750516612</v>
      </c>
      <c r="AI19" s="139">
        <v>446.4</v>
      </c>
      <c r="AJ19" s="8">
        <f t="shared" si="8"/>
        <v>4.4639999999999999E-2</v>
      </c>
      <c r="AK19" s="84">
        <f t="shared" si="26"/>
        <v>26.955359999999999</v>
      </c>
      <c r="AL19" s="92"/>
      <c r="AM19" s="8">
        <v>30</v>
      </c>
      <c r="AN19" s="5">
        <f t="shared" si="9"/>
        <v>5.4772255750516612</v>
      </c>
      <c r="AO19" s="11">
        <v>488</v>
      </c>
      <c r="AP19" s="8">
        <f t="shared" si="10"/>
        <v>4.8800000000000003E-2</v>
      </c>
      <c r="AQ19" s="84">
        <f t="shared" si="27"/>
        <v>26.9512</v>
      </c>
      <c r="AR19" s="92"/>
      <c r="AS19" s="8">
        <v>30</v>
      </c>
      <c r="AT19" s="5">
        <f t="shared" si="11"/>
        <v>5.4772255750516612</v>
      </c>
      <c r="AU19" s="27">
        <v>631.79999999999995</v>
      </c>
      <c r="AV19" s="8">
        <f t="shared" si="12"/>
        <v>6.318E-2</v>
      </c>
      <c r="AW19" s="84">
        <f t="shared" si="28"/>
        <v>26.936820000000001</v>
      </c>
      <c r="AX19" s="92"/>
      <c r="AY19" s="8">
        <v>30</v>
      </c>
      <c r="AZ19" s="5">
        <f t="shared" si="13"/>
        <v>5.4772255750516612</v>
      </c>
      <c r="BA19" s="11">
        <v>850</v>
      </c>
      <c r="BB19" s="8">
        <f t="shared" si="14"/>
        <v>8.5000000000000006E-2</v>
      </c>
      <c r="BC19" s="84">
        <f t="shared" si="32"/>
        <v>26.914999999999999</v>
      </c>
      <c r="BE19" s="8">
        <v>30</v>
      </c>
      <c r="BF19" s="5">
        <f t="shared" si="15"/>
        <v>5.4772255750516612</v>
      </c>
      <c r="BG19" s="11">
        <v>1040</v>
      </c>
      <c r="BH19" s="8">
        <f t="shared" si="16"/>
        <v>0.10400000000000001</v>
      </c>
      <c r="BI19" s="84">
        <f t="shared" si="29"/>
        <v>26.896000000000001</v>
      </c>
      <c r="BK19" s="8">
        <v>30</v>
      </c>
      <c r="BL19" s="5">
        <f t="shared" si="17"/>
        <v>5.4772255750516612</v>
      </c>
      <c r="BM19" s="11">
        <v>1040</v>
      </c>
      <c r="BN19" s="8">
        <f t="shared" si="18"/>
        <v>0.10400000000000001</v>
      </c>
      <c r="BO19" s="84">
        <f t="shared" si="30"/>
        <v>26.896000000000001</v>
      </c>
      <c r="CA19" s="95"/>
      <c r="CB19" s="95"/>
      <c r="CC19" s="95"/>
      <c r="CD19" s="95"/>
      <c r="CE19" s="95"/>
      <c r="CF19" s="95"/>
      <c r="CG19" s="95"/>
      <c r="CI19" s="100"/>
      <c r="CJ19" s="100"/>
      <c r="CK19" s="100"/>
      <c r="CL19" s="100"/>
      <c r="CM19" s="100"/>
      <c r="CN19" s="100"/>
      <c r="CO19" s="100"/>
    </row>
    <row r="20" spans="1:93" ht="18" customHeight="1">
      <c r="C20" s="8">
        <v>60</v>
      </c>
      <c r="D20" s="5">
        <f t="shared" si="19"/>
        <v>7.745966692414834</v>
      </c>
      <c r="E20" s="27">
        <v>144.5</v>
      </c>
      <c r="F20" s="8">
        <f t="shared" si="20"/>
        <v>1.4450000000000001E-2</v>
      </c>
      <c r="G20" s="84">
        <f t="shared" si="0"/>
        <v>26.98555</v>
      </c>
      <c r="I20" s="8">
        <v>60</v>
      </c>
      <c r="J20" s="5">
        <f t="shared" si="1"/>
        <v>7.745966692414834</v>
      </c>
      <c r="K20" s="27">
        <v>248</v>
      </c>
      <c r="L20" s="8">
        <f t="shared" si="2"/>
        <v>2.4800000000000003E-2</v>
      </c>
      <c r="M20" s="84">
        <f t="shared" si="21"/>
        <v>26.975200000000001</v>
      </c>
      <c r="N20" s="92"/>
      <c r="O20" s="8">
        <v>60</v>
      </c>
      <c r="P20" s="5">
        <f t="shared" si="3"/>
        <v>7.745966692414834</v>
      </c>
      <c r="Q20" s="27">
        <v>286</v>
      </c>
      <c r="R20" s="8">
        <f t="shared" si="4"/>
        <v>2.86E-2</v>
      </c>
      <c r="S20" s="84">
        <f t="shared" si="22"/>
        <v>26.971399999999999</v>
      </c>
      <c r="T20" s="92"/>
      <c r="U20" s="8">
        <v>60</v>
      </c>
      <c r="V20" s="5">
        <f t="shared" si="5"/>
        <v>7.745966692414834</v>
      </c>
      <c r="W20" s="11">
        <v>472.5</v>
      </c>
      <c r="X20" s="8">
        <f t="shared" si="6"/>
        <v>4.725E-2</v>
      </c>
      <c r="Y20" s="84">
        <f t="shared" si="23"/>
        <v>26.952750000000002</v>
      </c>
      <c r="Z20" s="92"/>
      <c r="AA20" s="8">
        <v>60</v>
      </c>
      <c r="AB20" s="5">
        <f t="shared" si="7"/>
        <v>7.745966692414834</v>
      </c>
      <c r="AC20" s="11">
        <v>442.4</v>
      </c>
      <c r="AD20" s="8">
        <f t="shared" si="24"/>
        <v>4.4240000000000002E-2</v>
      </c>
      <c r="AE20" s="84">
        <f t="shared" si="25"/>
        <v>26.955760000000001</v>
      </c>
      <c r="AF20" s="92"/>
      <c r="AG20" s="8">
        <v>60</v>
      </c>
      <c r="AH20" s="5">
        <f t="shared" si="31"/>
        <v>7.745966692414834</v>
      </c>
      <c r="AI20" s="139">
        <v>446.5</v>
      </c>
      <c r="AJ20" s="8">
        <f t="shared" si="8"/>
        <v>4.4650000000000002E-2</v>
      </c>
      <c r="AK20" s="84">
        <f t="shared" si="26"/>
        <v>26.955349999999999</v>
      </c>
      <c r="AL20" s="92"/>
      <c r="AM20" s="8">
        <v>108</v>
      </c>
      <c r="AN20" s="5">
        <f t="shared" si="9"/>
        <v>10.392304845413264</v>
      </c>
      <c r="AO20" s="11">
        <v>490.5</v>
      </c>
      <c r="AP20" s="8">
        <f t="shared" si="10"/>
        <v>4.9050000000000003E-2</v>
      </c>
      <c r="AQ20" s="84">
        <f t="shared" si="27"/>
        <v>26.950949999999999</v>
      </c>
      <c r="AR20" s="92"/>
      <c r="AS20" s="8">
        <v>60</v>
      </c>
      <c r="AT20" s="5">
        <f t="shared" si="11"/>
        <v>7.745966692414834</v>
      </c>
      <c r="AU20" s="27">
        <v>640</v>
      </c>
      <c r="AV20" s="8">
        <f t="shared" si="12"/>
        <v>6.4000000000000001E-2</v>
      </c>
      <c r="AW20" s="84">
        <f t="shared" si="28"/>
        <v>26.936</v>
      </c>
      <c r="AX20" s="92"/>
      <c r="AY20" s="8">
        <v>60</v>
      </c>
      <c r="AZ20" s="5">
        <f t="shared" si="13"/>
        <v>7.745966692414834</v>
      </c>
      <c r="BA20" s="11">
        <v>860</v>
      </c>
      <c r="BB20" s="8">
        <f t="shared" si="14"/>
        <v>8.6000000000000007E-2</v>
      </c>
      <c r="BC20" s="84">
        <f t="shared" si="32"/>
        <v>26.914000000000001</v>
      </c>
      <c r="BE20" s="8">
        <v>50</v>
      </c>
      <c r="BF20" s="5">
        <f t="shared" si="15"/>
        <v>7.0710678118654755</v>
      </c>
      <c r="BG20" s="11">
        <v>1047.5</v>
      </c>
      <c r="BH20" s="8">
        <f t="shared" si="16"/>
        <v>0.10475000000000001</v>
      </c>
      <c r="BI20" s="84">
        <f t="shared" si="29"/>
        <v>26.895250000000001</v>
      </c>
      <c r="BK20" s="8">
        <v>50</v>
      </c>
      <c r="BL20" s="5">
        <f t="shared" si="17"/>
        <v>7.0710678118654755</v>
      </c>
      <c r="BM20" s="11">
        <v>1047.5</v>
      </c>
      <c r="BN20" s="8">
        <f t="shared" si="18"/>
        <v>0.10475000000000001</v>
      </c>
      <c r="BO20" s="84">
        <f t="shared" si="30"/>
        <v>26.895250000000001</v>
      </c>
      <c r="BU20"/>
      <c r="CA20" s="95"/>
      <c r="CB20" s="95"/>
      <c r="CC20" s="95"/>
      <c r="CD20" s="95"/>
      <c r="CE20" s="95"/>
      <c r="CF20" s="95"/>
      <c r="CG20" s="95"/>
      <c r="CI20" s="100"/>
      <c r="CJ20" s="100"/>
      <c r="CK20" s="100"/>
      <c r="CL20" s="100"/>
      <c r="CM20" s="100"/>
      <c r="CN20" s="100"/>
      <c r="CO20" s="100"/>
    </row>
    <row r="21" spans="1:93" ht="18" customHeight="1">
      <c r="C21" s="8">
        <v>130</v>
      </c>
      <c r="D21" s="5">
        <f t="shared" si="19"/>
        <v>11.401754250991379</v>
      </c>
      <c r="E21" s="27">
        <v>160</v>
      </c>
      <c r="F21" s="8">
        <f t="shared" si="20"/>
        <v>1.6E-2</v>
      </c>
      <c r="G21" s="84">
        <f t="shared" si="0"/>
        <v>26.984000000000002</v>
      </c>
      <c r="I21" s="8">
        <v>121</v>
      </c>
      <c r="J21" s="5">
        <f t="shared" si="1"/>
        <v>11</v>
      </c>
      <c r="K21" s="27">
        <v>250</v>
      </c>
      <c r="L21" s="8">
        <f t="shared" si="2"/>
        <v>2.5000000000000001E-2</v>
      </c>
      <c r="M21" s="84">
        <f t="shared" si="21"/>
        <v>26.975000000000001</v>
      </c>
      <c r="N21" s="92"/>
      <c r="O21" s="8">
        <v>128</v>
      </c>
      <c r="P21" s="5">
        <f t="shared" si="3"/>
        <v>11.313708498984761</v>
      </c>
      <c r="Q21" s="27">
        <v>292.5</v>
      </c>
      <c r="R21" s="8">
        <f t="shared" si="4"/>
        <v>2.9250000000000002E-2</v>
      </c>
      <c r="S21" s="84">
        <f t="shared" si="22"/>
        <v>26.970749999999999</v>
      </c>
      <c r="T21" s="92"/>
      <c r="U21" s="8">
        <v>120</v>
      </c>
      <c r="V21" s="5">
        <f t="shared" si="5"/>
        <v>10.954451150103322</v>
      </c>
      <c r="W21" s="11">
        <v>479.5</v>
      </c>
      <c r="X21" s="8">
        <f t="shared" si="6"/>
        <v>4.795E-2</v>
      </c>
      <c r="Y21" s="84">
        <f t="shared" si="23"/>
        <v>26.95205</v>
      </c>
      <c r="Z21" s="92"/>
      <c r="AA21" s="8">
        <v>120</v>
      </c>
      <c r="AB21" s="5">
        <f t="shared" si="7"/>
        <v>10.954451150103322</v>
      </c>
      <c r="AC21" s="11">
        <v>442.4</v>
      </c>
      <c r="AD21" s="8">
        <f t="shared" si="24"/>
        <v>4.4240000000000002E-2</v>
      </c>
      <c r="AE21" s="84">
        <f t="shared" si="25"/>
        <v>26.955760000000001</v>
      </c>
      <c r="AF21" s="92"/>
      <c r="AG21" s="8">
        <v>120</v>
      </c>
      <c r="AH21" s="5">
        <f t="shared" si="31"/>
        <v>10.954451150103322</v>
      </c>
      <c r="AI21" s="139">
        <v>446.5</v>
      </c>
      <c r="AJ21" s="8">
        <f t="shared" si="8"/>
        <v>4.4650000000000002E-2</v>
      </c>
      <c r="AK21" s="84">
        <f t="shared" si="26"/>
        <v>26.955349999999999</v>
      </c>
      <c r="AL21" s="92"/>
      <c r="AM21" s="8">
        <v>947</v>
      </c>
      <c r="AN21" s="5">
        <f t="shared" si="9"/>
        <v>30.773365106858236</v>
      </c>
      <c r="AO21" s="11">
        <v>500</v>
      </c>
      <c r="AP21" s="8">
        <f t="shared" si="10"/>
        <v>0.05</v>
      </c>
      <c r="AQ21" s="84">
        <f t="shared" si="27"/>
        <v>26.95</v>
      </c>
      <c r="AR21" s="92"/>
      <c r="AS21" s="8">
        <v>127</v>
      </c>
      <c r="AT21" s="5">
        <f t="shared" si="11"/>
        <v>11.269427669584644</v>
      </c>
      <c r="AU21" s="27">
        <v>642</v>
      </c>
      <c r="AV21" s="8">
        <f t="shared" si="12"/>
        <v>6.4200000000000007E-2</v>
      </c>
      <c r="AW21" s="84">
        <f t="shared" si="28"/>
        <v>26.9358</v>
      </c>
      <c r="AX21" s="92"/>
      <c r="AY21" s="8">
        <v>115</v>
      </c>
      <c r="AZ21" s="5">
        <f t="shared" si="13"/>
        <v>10.723805294763608</v>
      </c>
      <c r="BA21" s="11">
        <v>867</v>
      </c>
      <c r="BB21" s="8">
        <f t="shared" si="14"/>
        <v>8.6699999999999999E-2</v>
      </c>
      <c r="BC21" s="84">
        <f t="shared" si="32"/>
        <v>26.9133</v>
      </c>
      <c r="BE21" s="8">
        <v>76</v>
      </c>
      <c r="BF21" s="5">
        <f t="shared" si="15"/>
        <v>8.717797887081348</v>
      </c>
      <c r="BG21" s="11">
        <v>1052.5</v>
      </c>
      <c r="BH21" s="8">
        <f t="shared" si="16"/>
        <v>0.10525000000000001</v>
      </c>
      <c r="BI21" s="84">
        <f t="shared" si="29"/>
        <v>26.894749999999998</v>
      </c>
      <c r="BK21" s="8">
        <v>76</v>
      </c>
      <c r="BL21" s="5">
        <f t="shared" si="17"/>
        <v>8.717797887081348</v>
      </c>
      <c r="BM21" s="11">
        <v>1052.5</v>
      </c>
      <c r="BN21" s="8">
        <f t="shared" si="18"/>
        <v>0.10525000000000001</v>
      </c>
      <c r="BO21" s="84">
        <f t="shared" si="30"/>
        <v>26.894749999999998</v>
      </c>
      <c r="BU21"/>
      <c r="CA21" s="95"/>
      <c r="CB21" s="95"/>
      <c r="CC21" s="95"/>
      <c r="CD21" s="95"/>
      <c r="CE21" s="95"/>
      <c r="CF21" s="95"/>
      <c r="CG21" s="95"/>
      <c r="CI21" s="100"/>
      <c r="CJ21" s="100"/>
      <c r="CK21" s="100"/>
      <c r="CL21" s="100"/>
      <c r="CM21" s="100"/>
      <c r="CN21" s="100"/>
      <c r="CO21" s="100"/>
    </row>
    <row r="22" spans="1:93" ht="18" customHeight="1">
      <c r="C22" s="8">
        <v>300</v>
      </c>
      <c r="D22" s="5">
        <f t="shared" si="19"/>
        <v>17.320508075688775</v>
      </c>
      <c r="E22" s="27">
        <v>162</v>
      </c>
      <c r="F22" s="8">
        <f t="shared" si="20"/>
        <v>1.6199999999999999E-2</v>
      </c>
      <c r="G22" s="84">
        <f t="shared" si="0"/>
        <v>26.983799999999999</v>
      </c>
      <c r="I22" s="8">
        <v>240</v>
      </c>
      <c r="J22" s="5">
        <f t="shared" si="1"/>
        <v>15.491933384829668</v>
      </c>
      <c r="K22" s="27">
        <v>254</v>
      </c>
      <c r="L22" s="8">
        <f t="shared" si="2"/>
        <v>2.5400000000000002E-2</v>
      </c>
      <c r="M22" s="84">
        <f t="shared" si="21"/>
        <v>26.974599999999999</v>
      </c>
      <c r="N22" s="92"/>
      <c r="O22" s="8">
        <v>240</v>
      </c>
      <c r="P22" s="5">
        <f t="shared" si="3"/>
        <v>15.491933384829668</v>
      </c>
      <c r="Q22" s="27">
        <v>297</v>
      </c>
      <c r="R22" s="8">
        <f t="shared" si="4"/>
        <v>2.9700000000000001E-2</v>
      </c>
      <c r="S22" s="84">
        <f t="shared" si="22"/>
        <v>26.970300000000002</v>
      </c>
      <c r="T22" s="92"/>
      <c r="U22" s="8">
        <v>290</v>
      </c>
      <c r="V22" s="5">
        <f t="shared" si="5"/>
        <v>17.029386365926403</v>
      </c>
      <c r="W22" s="11">
        <v>486</v>
      </c>
      <c r="X22" s="8">
        <f t="shared" si="6"/>
        <v>4.8600000000000004E-2</v>
      </c>
      <c r="Y22" s="84">
        <f t="shared" si="23"/>
        <v>26.9514</v>
      </c>
      <c r="Z22" s="92"/>
      <c r="AA22" s="8"/>
      <c r="AB22" s="5"/>
      <c r="AC22" s="11"/>
      <c r="AD22" s="8"/>
      <c r="AE22" s="84"/>
      <c r="AF22" s="92"/>
      <c r="AG22" s="8"/>
      <c r="AH22" s="5"/>
      <c r="AI22" s="27"/>
      <c r="AJ22" s="8"/>
      <c r="AK22" s="10"/>
      <c r="AL22" s="92"/>
      <c r="AM22" s="8"/>
      <c r="AN22" s="5"/>
      <c r="AO22" s="11"/>
      <c r="AP22" s="8"/>
      <c r="AQ22" s="5"/>
      <c r="AR22" s="92"/>
      <c r="AS22" s="8">
        <v>205</v>
      </c>
      <c r="AT22" s="5">
        <f t="shared" si="11"/>
        <v>14.317821063276353</v>
      </c>
      <c r="AU22" s="27">
        <v>651</v>
      </c>
      <c r="AV22" s="8">
        <f t="shared" si="12"/>
        <v>6.5100000000000005E-2</v>
      </c>
      <c r="AW22" s="84">
        <f t="shared" si="28"/>
        <v>26.934899999999999</v>
      </c>
      <c r="AX22" s="92"/>
      <c r="AY22" s="8"/>
      <c r="AZ22" s="5"/>
      <c r="BA22" s="11"/>
      <c r="BB22" s="8"/>
      <c r="BC22" s="84"/>
      <c r="BE22" s="8">
        <v>138</v>
      </c>
      <c r="BF22" s="5">
        <f t="shared" si="15"/>
        <v>11.74734012447073</v>
      </c>
      <c r="BG22" s="11">
        <v>1060</v>
      </c>
      <c r="BH22" s="8">
        <f t="shared" si="16"/>
        <v>0.10600000000000001</v>
      </c>
      <c r="BI22" s="84">
        <f t="shared" si="29"/>
        <v>26.893999999999998</v>
      </c>
      <c r="BK22" s="8">
        <v>138</v>
      </c>
      <c r="BL22" s="5">
        <f t="shared" si="17"/>
        <v>11.74734012447073</v>
      </c>
      <c r="BM22" s="11">
        <v>1060</v>
      </c>
      <c r="BN22" s="8">
        <f t="shared" si="18"/>
        <v>0.10600000000000001</v>
      </c>
      <c r="BO22" s="84">
        <f t="shared" si="30"/>
        <v>26.893999999999998</v>
      </c>
      <c r="CA22" s="95"/>
      <c r="CB22" s="95"/>
      <c r="CC22" s="95"/>
      <c r="CD22" s="95"/>
      <c r="CE22" s="95"/>
      <c r="CF22" s="95"/>
      <c r="CG22" s="95"/>
      <c r="CI22" s="100"/>
      <c r="CJ22" s="100"/>
      <c r="CK22" s="100"/>
      <c r="CL22" s="100"/>
      <c r="CM22" s="100"/>
      <c r="CN22" s="100"/>
      <c r="CO22" s="100"/>
    </row>
    <row r="23" spans="1:93" ht="18" customHeight="1">
      <c r="C23" s="8">
        <v>1380</v>
      </c>
      <c r="D23" s="5">
        <f t="shared" si="19"/>
        <v>37.148351242013419</v>
      </c>
      <c r="E23" s="27">
        <v>169</v>
      </c>
      <c r="F23" s="8">
        <f t="shared" si="20"/>
        <v>1.6900000000000002E-2</v>
      </c>
      <c r="G23" s="84">
        <f t="shared" si="0"/>
        <v>26.9831</v>
      </c>
      <c r="I23" s="8">
        <v>562</v>
      </c>
      <c r="J23" s="5">
        <f t="shared" si="1"/>
        <v>23.706539182259394</v>
      </c>
      <c r="K23" s="27">
        <v>255</v>
      </c>
      <c r="L23" s="8">
        <f t="shared" si="2"/>
        <v>2.5500000000000002E-2</v>
      </c>
      <c r="M23" s="84">
        <f t="shared" si="21"/>
        <v>26.974499999999999</v>
      </c>
      <c r="N23" s="92"/>
      <c r="O23" s="8">
        <v>335</v>
      </c>
      <c r="P23" s="5">
        <f t="shared" si="3"/>
        <v>18.303005217723125</v>
      </c>
      <c r="Q23" s="27">
        <v>299</v>
      </c>
      <c r="R23" s="8">
        <f t="shared" si="4"/>
        <v>2.9900000000000003E-2</v>
      </c>
      <c r="S23" s="84">
        <f t="shared" si="22"/>
        <v>26.970099999999999</v>
      </c>
      <c r="T23" s="92"/>
      <c r="U23" s="8">
        <v>395</v>
      </c>
      <c r="V23" s="5">
        <f t="shared" si="5"/>
        <v>19.874606914351791</v>
      </c>
      <c r="W23" s="11">
        <v>488</v>
      </c>
      <c r="X23" s="8">
        <f t="shared" si="6"/>
        <v>4.8800000000000003E-2</v>
      </c>
      <c r="Y23" s="84">
        <f t="shared" si="23"/>
        <v>26.9512</v>
      </c>
      <c r="Z23" s="92"/>
      <c r="AA23" s="8"/>
      <c r="AB23" s="5"/>
      <c r="AC23" s="11"/>
      <c r="AD23" s="8"/>
      <c r="AE23" s="84"/>
      <c r="AF23" s="92"/>
      <c r="AG23" s="8"/>
      <c r="AH23" s="5"/>
      <c r="AI23" s="27"/>
      <c r="AJ23" s="8"/>
      <c r="AK23" s="10"/>
      <c r="AL23" s="92"/>
      <c r="AM23" s="8"/>
      <c r="AN23" s="5"/>
      <c r="AO23" s="11"/>
      <c r="AP23" s="8"/>
      <c r="AQ23" s="5"/>
      <c r="AR23" s="92"/>
      <c r="AS23" s="8">
        <v>228</v>
      </c>
      <c r="AT23" s="5">
        <f t="shared" si="11"/>
        <v>15.0996688705415</v>
      </c>
      <c r="AU23" s="27">
        <v>652</v>
      </c>
      <c r="AV23" s="8">
        <f t="shared" si="12"/>
        <v>6.5200000000000008E-2</v>
      </c>
      <c r="AW23" s="84">
        <f>D$2-AV23</f>
        <v>26.934799999999999</v>
      </c>
      <c r="AX23" s="92"/>
      <c r="AY23" s="8"/>
      <c r="AZ23" s="5"/>
      <c r="BA23" s="11"/>
      <c r="BB23" s="8"/>
      <c r="BC23" s="5"/>
      <c r="BE23" s="8">
        <v>240</v>
      </c>
      <c r="BF23" s="5">
        <f t="shared" si="15"/>
        <v>15.491933384829668</v>
      </c>
      <c r="BG23" s="11">
        <v>1063</v>
      </c>
      <c r="BH23" s="8">
        <f t="shared" si="16"/>
        <v>0.10630000000000001</v>
      </c>
      <c r="BI23" s="84">
        <f t="shared" si="29"/>
        <v>26.893699999999999</v>
      </c>
      <c r="BK23" s="8">
        <v>240</v>
      </c>
      <c r="BL23" s="5">
        <f t="shared" si="17"/>
        <v>15.491933384829668</v>
      </c>
      <c r="BM23" s="11">
        <v>1063</v>
      </c>
      <c r="BN23" s="8">
        <f t="shared" si="18"/>
        <v>0.10630000000000001</v>
      </c>
      <c r="BO23" s="84">
        <f t="shared" si="30"/>
        <v>26.893699999999999</v>
      </c>
      <c r="CA23" s="95"/>
      <c r="CB23" s="95"/>
      <c r="CC23" s="95"/>
      <c r="CD23" s="95"/>
      <c r="CE23" s="95"/>
      <c r="CF23" s="95"/>
      <c r="CG23" s="95"/>
      <c r="CI23" s="100"/>
      <c r="CJ23" s="100"/>
      <c r="CK23" s="100"/>
      <c r="CL23" s="100"/>
      <c r="CM23" s="100"/>
      <c r="CN23" s="100"/>
      <c r="CO23" s="100"/>
    </row>
    <row r="24" spans="1:93" ht="18" customHeight="1">
      <c r="C24" s="24"/>
      <c r="D24" s="5"/>
      <c r="E24" s="24"/>
      <c r="F24" s="8"/>
      <c r="G24" s="10"/>
      <c r="I24" s="24"/>
      <c r="J24" s="5"/>
      <c r="K24" s="5"/>
      <c r="L24" s="8"/>
      <c r="M24" s="5"/>
      <c r="N24" s="18"/>
      <c r="O24" s="24">
        <v>390</v>
      </c>
      <c r="P24" s="5">
        <f t="shared" si="3"/>
        <v>19.748417658131498</v>
      </c>
      <c r="Q24" s="24">
        <v>300</v>
      </c>
      <c r="R24" s="8">
        <f t="shared" si="4"/>
        <v>3.0000000000000002E-2</v>
      </c>
      <c r="S24" s="84">
        <f t="shared" si="22"/>
        <v>26.97</v>
      </c>
      <c r="T24" s="98"/>
      <c r="U24" s="24">
        <v>1230</v>
      </c>
      <c r="V24" s="5">
        <f t="shared" si="5"/>
        <v>35.071355833500363</v>
      </c>
      <c r="W24" s="5">
        <v>496</v>
      </c>
      <c r="X24" s="8">
        <f t="shared" si="6"/>
        <v>4.9600000000000005E-2</v>
      </c>
      <c r="Y24" s="84">
        <f t="shared" si="23"/>
        <v>26.950399999999998</v>
      </c>
      <c r="Z24" s="95"/>
      <c r="AA24" s="24"/>
      <c r="AB24" s="5"/>
      <c r="AC24" s="5"/>
      <c r="AD24" s="8"/>
      <c r="AE24" s="84"/>
      <c r="AG24" s="24"/>
      <c r="AH24" s="5"/>
      <c r="AI24" s="24"/>
      <c r="AJ24" s="8"/>
      <c r="AK24" s="10"/>
      <c r="AM24" s="24"/>
      <c r="AN24" s="5"/>
      <c r="AO24" s="5"/>
      <c r="AP24" s="8"/>
      <c r="AQ24" s="5"/>
      <c r="AS24" s="24"/>
      <c r="AT24" s="5"/>
      <c r="AU24" s="24"/>
      <c r="AV24" s="8"/>
      <c r="AW24" s="5"/>
      <c r="AY24" s="24"/>
      <c r="AZ24" s="5"/>
      <c r="BA24" s="5"/>
      <c r="BB24" s="8"/>
      <c r="BC24" s="5"/>
      <c r="BE24" s="24"/>
      <c r="BF24" s="5"/>
      <c r="BG24" s="5"/>
      <c r="BH24" s="8"/>
      <c r="BI24" s="5"/>
      <c r="BK24" s="24"/>
      <c r="BL24" s="5"/>
      <c r="BM24" s="5"/>
      <c r="BN24" s="8"/>
      <c r="BO24" s="5"/>
      <c r="CA24" s="95"/>
      <c r="CB24" s="95"/>
      <c r="CC24" s="95"/>
      <c r="CD24" s="95"/>
      <c r="CE24" s="95"/>
      <c r="CF24" s="95"/>
      <c r="CG24" s="95"/>
      <c r="CI24" s="100"/>
      <c r="CJ24" s="100"/>
      <c r="CK24" s="100"/>
      <c r="CL24" s="100"/>
      <c r="CM24" s="100"/>
      <c r="CN24" s="100"/>
      <c r="CO24" s="100"/>
    </row>
    <row r="25" spans="1:93" ht="18" customHeight="1">
      <c r="C25" s="8"/>
      <c r="D25" s="5"/>
      <c r="E25" s="24"/>
      <c r="F25" s="8"/>
      <c r="G25" s="10"/>
      <c r="I25" s="8"/>
      <c r="J25" s="5"/>
      <c r="K25" s="29"/>
      <c r="L25" s="8"/>
      <c r="M25" s="5"/>
      <c r="N25" s="18"/>
      <c r="O25" s="8">
        <v>678</v>
      </c>
      <c r="P25" s="5">
        <f t="shared" si="3"/>
        <v>26.038433132583073</v>
      </c>
      <c r="Q25" s="24">
        <v>303</v>
      </c>
      <c r="R25" s="8">
        <f t="shared" si="4"/>
        <v>3.0300000000000001E-2</v>
      </c>
      <c r="S25" s="84">
        <f t="shared" si="22"/>
        <v>26.9697</v>
      </c>
      <c r="T25" s="98"/>
      <c r="U25" s="8"/>
      <c r="V25" s="5"/>
      <c r="W25" s="5"/>
      <c r="X25" s="8"/>
      <c r="Y25" s="84"/>
      <c r="Z25" s="95"/>
      <c r="AA25" s="5"/>
      <c r="AB25" s="5"/>
      <c r="AC25" s="5"/>
      <c r="AD25" s="8"/>
      <c r="AE25" s="84"/>
      <c r="AG25" s="8"/>
      <c r="AH25" s="5"/>
      <c r="AI25" s="24"/>
      <c r="AJ25" s="8"/>
      <c r="AK25" s="10"/>
      <c r="AM25" s="8"/>
      <c r="AN25" s="5"/>
      <c r="AO25" s="29"/>
      <c r="AP25" s="8"/>
      <c r="AQ25" s="5"/>
      <c r="AS25" s="8"/>
      <c r="AT25" s="5"/>
      <c r="AU25" s="24"/>
      <c r="AV25" s="8"/>
      <c r="AW25" s="5"/>
      <c r="AY25" s="8"/>
      <c r="AZ25" s="5"/>
      <c r="BA25" s="5"/>
      <c r="BB25" s="8"/>
      <c r="BC25" s="5"/>
      <c r="BE25" s="8"/>
      <c r="BF25" s="5"/>
      <c r="BG25" s="5"/>
      <c r="BH25" s="8"/>
      <c r="BI25" s="5"/>
      <c r="BK25" s="8"/>
      <c r="BL25" s="5"/>
      <c r="BM25" s="5"/>
      <c r="BN25" s="8"/>
      <c r="BO25" s="5"/>
      <c r="CA25" s="95"/>
      <c r="CB25" s="95"/>
      <c r="CC25" s="95"/>
      <c r="CD25" s="95"/>
      <c r="CE25" s="95"/>
      <c r="CF25" s="95"/>
      <c r="CG25" s="95"/>
      <c r="CI25" s="100"/>
      <c r="CJ25" s="100"/>
      <c r="CK25" s="100"/>
      <c r="CL25" s="100"/>
      <c r="CM25" s="100"/>
      <c r="CN25" s="100"/>
      <c r="CO25" s="100"/>
    </row>
    <row r="26" spans="1:93">
      <c r="C26" s="8"/>
      <c r="D26" s="5"/>
      <c r="E26" s="24"/>
      <c r="F26" s="8"/>
      <c r="G26" s="10"/>
      <c r="I26" s="8"/>
      <c r="J26" s="5"/>
      <c r="K26" s="29"/>
      <c r="L26" s="8"/>
      <c r="M26" s="5"/>
      <c r="N26" s="7"/>
      <c r="O26" s="8">
        <v>1380</v>
      </c>
      <c r="P26" s="5">
        <f t="shared" ref="P26:P27" si="33">SQRT(O26)</f>
        <v>37.148351242013419</v>
      </c>
      <c r="Q26" s="24">
        <v>303.5</v>
      </c>
      <c r="R26" s="8">
        <f t="shared" si="4"/>
        <v>3.0350000000000002E-2</v>
      </c>
      <c r="S26" s="84">
        <f t="shared" si="22"/>
        <v>26.969650000000001</v>
      </c>
      <c r="T26" s="98"/>
      <c r="U26" s="5"/>
      <c r="V26" s="5"/>
      <c r="W26" s="8"/>
      <c r="X26" s="8"/>
      <c r="Y26" s="84"/>
      <c r="Z26" s="95"/>
      <c r="AA26" s="8"/>
      <c r="AB26" s="8"/>
      <c r="AC26" s="8"/>
      <c r="AD26" s="8"/>
      <c r="AE26" s="8"/>
      <c r="AG26" s="8"/>
      <c r="AH26" s="5"/>
      <c r="AI26" s="24"/>
      <c r="AJ26" s="8"/>
      <c r="AK26" s="10"/>
      <c r="AM26" s="8"/>
      <c r="AN26" s="5"/>
      <c r="AO26" s="29"/>
      <c r="AP26" s="8"/>
      <c r="AQ26" s="5"/>
      <c r="AS26" s="8"/>
      <c r="AT26" s="5"/>
      <c r="AU26" s="24"/>
      <c r="AV26" s="8"/>
      <c r="AW26" s="5"/>
      <c r="AY26" s="5"/>
      <c r="AZ26" s="5"/>
      <c r="BA26" s="8"/>
      <c r="BB26" s="8"/>
      <c r="BC26" s="5"/>
      <c r="BE26" s="8"/>
      <c r="BF26" s="5"/>
      <c r="BG26" s="5"/>
      <c r="BH26" s="8"/>
      <c r="BI26" s="5"/>
      <c r="BK26" s="8"/>
      <c r="BL26" s="5"/>
      <c r="BM26" s="5"/>
      <c r="BN26" s="8"/>
      <c r="BO26" s="5"/>
    </row>
    <row r="27" spans="1:93" ht="18" customHeight="1">
      <c r="C27" s="8"/>
      <c r="D27" s="10"/>
      <c r="E27" s="10"/>
      <c r="F27" s="8"/>
      <c r="G27" s="10"/>
      <c r="I27" s="8"/>
      <c r="J27" s="5"/>
      <c r="K27" s="5"/>
      <c r="L27" s="5"/>
      <c r="M27" s="8"/>
      <c r="N27" s="7"/>
      <c r="O27" s="11">
        <v>1520</v>
      </c>
      <c r="P27" s="5">
        <f t="shared" si="33"/>
        <v>38.987177379235852</v>
      </c>
      <c r="Q27" s="5">
        <v>304</v>
      </c>
      <c r="R27" s="8">
        <f t="shared" si="4"/>
        <v>3.04E-2</v>
      </c>
      <c r="S27" s="84">
        <f t="shared" si="22"/>
        <v>26.9696</v>
      </c>
      <c r="T27" s="98"/>
      <c r="U27" s="5"/>
      <c r="V27" s="8"/>
      <c r="W27" s="8"/>
      <c r="X27" s="5"/>
      <c r="Y27" s="5"/>
      <c r="Z27" s="95"/>
      <c r="AA27" s="8"/>
      <c r="AB27" s="5"/>
      <c r="AC27" s="8"/>
      <c r="AD27" s="8"/>
      <c r="AE27" s="8"/>
      <c r="AG27" s="8"/>
      <c r="AH27" s="5"/>
      <c r="AI27" s="5"/>
      <c r="AJ27" s="8"/>
      <c r="AK27" s="8"/>
      <c r="AM27" s="8"/>
      <c r="AN27" s="8"/>
      <c r="AO27" s="8"/>
      <c r="AP27" s="8"/>
      <c r="AQ27" s="8"/>
      <c r="AS27" s="11"/>
      <c r="AT27" s="5"/>
      <c r="AU27" s="5"/>
      <c r="AV27" s="8"/>
      <c r="AW27" s="5"/>
      <c r="AY27" s="8"/>
      <c r="AZ27" s="8"/>
      <c r="BA27" s="8"/>
      <c r="BB27" s="8"/>
      <c r="BC27" s="8"/>
      <c r="BE27" s="8"/>
      <c r="BF27" s="8"/>
      <c r="BG27" s="8"/>
      <c r="BH27" s="8"/>
      <c r="BI27" s="8"/>
      <c r="BK27" s="8"/>
      <c r="BL27" s="8"/>
      <c r="BM27" s="8"/>
      <c r="BN27" s="8"/>
      <c r="BO27" s="8"/>
    </row>
    <row r="28" spans="1:93" s="85" customFormat="1" ht="18" customHeight="1">
      <c r="C28" s="8"/>
      <c r="D28" s="10"/>
      <c r="E28" s="10"/>
      <c r="F28" s="8"/>
      <c r="G28" s="10"/>
      <c r="H28" s="92"/>
      <c r="I28" s="8"/>
      <c r="J28" s="5"/>
      <c r="K28" s="5"/>
      <c r="L28" s="5"/>
      <c r="M28" s="8"/>
      <c r="N28" s="7"/>
      <c r="O28" s="11"/>
      <c r="P28" s="5"/>
      <c r="Q28" s="5"/>
      <c r="R28" s="8"/>
      <c r="S28" s="84"/>
      <c r="T28" s="98"/>
      <c r="U28" s="5"/>
      <c r="V28" s="8"/>
      <c r="W28" s="8"/>
      <c r="X28" s="5"/>
      <c r="Y28" s="5"/>
      <c r="Z28" s="95"/>
      <c r="AA28" s="8"/>
      <c r="AB28" s="5"/>
      <c r="AC28" s="8"/>
      <c r="AD28" s="8"/>
      <c r="AE28" s="8"/>
      <c r="AG28" s="8"/>
      <c r="AH28" s="5"/>
      <c r="AI28" s="5"/>
      <c r="AJ28" s="8"/>
      <c r="AK28" s="8"/>
      <c r="AM28" s="8"/>
      <c r="AN28" s="8"/>
      <c r="AO28" s="8"/>
      <c r="AP28" s="8"/>
      <c r="AQ28" s="8"/>
      <c r="AS28" s="11"/>
      <c r="AT28" s="5"/>
      <c r="AU28" s="5"/>
      <c r="AV28" s="8"/>
      <c r="AW28" s="5"/>
      <c r="AY28" s="8"/>
      <c r="AZ28" s="8"/>
      <c r="BA28" s="8"/>
      <c r="BB28" s="8"/>
      <c r="BC28" s="8"/>
      <c r="BE28" s="8"/>
      <c r="BF28" s="8"/>
      <c r="BG28" s="8"/>
      <c r="BH28" s="8"/>
      <c r="BI28" s="8"/>
      <c r="BK28" s="8"/>
      <c r="BL28" s="8"/>
      <c r="BM28" s="8"/>
      <c r="BN28" s="8"/>
      <c r="BO28" s="8"/>
    </row>
    <row r="29" spans="1:93" s="85" customFormat="1" ht="18" customHeight="1">
      <c r="C29" s="6"/>
      <c r="D29" s="23"/>
      <c r="E29" s="23"/>
      <c r="F29" s="6"/>
      <c r="G29" s="23"/>
      <c r="H29" s="92"/>
      <c r="J29" s="7"/>
      <c r="K29" s="7"/>
      <c r="L29" s="7"/>
      <c r="M29" s="6"/>
      <c r="N29" s="7"/>
      <c r="O29" s="18"/>
      <c r="P29" s="7"/>
      <c r="Q29" s="7"/>
      <c r="R29" s="6"/>
      <c r="S29" s="90"/>
      <c r="T29" s="6"/>
      <c r="U29" s="7"/>
      <c r="X29" s="7"/>
      <c r="Y29" s="7"/>
      <c r="Z29" s="7"/>
      <c r="AA29" s="6"/>
      <c r="AB29" s="7"/>
      <c r="AH29" s="4"/>
      <c r="AI29" s="4"/>
      <c r="AS29" s="18"/>
      <c r="AT29" s="7"/>
      <c r="AU29" s="7"/>
      <c r="AV29" s="6"/>
      <c r="AW29" s="7"/>
    </row>
    <row r="30" spans="1:93" ht="18" customHeight="1">
      <c r="B30" s="91"/>
      <c r="C30" s="6"/>
      <c r="D30" s="23"/>
      <c r="E30" s="23"/>
      <c r="F30" s="6"/>
      <c r="G30" s="23"/>
      <c r="J30" s="7"/>
      <c r="K30" s="7"/>
      <c r="L30" s="7"/>
      <c r="M30" s="6"/>
      <c r="N30" s="7"/>
      <c r="O30" s="18"/>
      <c r="Q30" s="7"/>
      <c r="R30" s="7"/>
      <c r="S30" s="7"/>
      <c r="T30" s="6"/>
      <c r="U30" s="7"/>
      <c r="X30" s="7"/>
      <c r="Y30" s="7"/>
      <c r="Z30" s="7"/>
      <c r="AA30" s="6"/>
      <c r="AB30" s="7"/>
    </row>
    <row r="31" spans="1:93">
      <c r="B31"/>
      <c r="C31" s="147">
        <v>12</v>
      </c>
      <c r="D31" s="147"/>
      <c r="E31" s="147"/>
      <c r="F31" s="147"/>
      <c r="G31" s="147"/>
      <c r="H31" s="93"/>
      <c r="I31" s="147">
        <v>13</v>
      </c>
      <c r="J31" s="147"/>
      <c r="K31" s="147"/>
      <c r="L31" s="147"/>
      <c r="M31" s="147"/>
      <c r="N31"/>
      <c r="O31" s="147">
        <v>14</v>
      </c>
      <c r="P31" s="147"/>
      <c r="Q31" s="147"/>
      <c r="R31" s="147"/>
      <c r="S31" s="147"/>
      <c r="U31" s="147">
        <v>15</v>
      </c>
      <c r="V31" s="147"/>
      <c r="W31" s="147"/>
      <c r="X31" s="147"/>
      <c r="Y31" s="147"/>
      <c r="AA31" s="147">
        <v>16</v>
      </c>
      <c r="AB31" s="147"/>
      <c r="AC31" s="147"/>
      <c r="AD31" s="147"/>
      <c r="AE31" s="147"/>
    </row>
    <row r="32" spans="1:93">
      <c r="C32" s="1" t="b">
        <v>1</v>
      </c>
      <c r="D32" s="143" t="s">
        <v>101</v>
      </c>
      <c r="E32" s="143"/>
      <c r="F32" s="143"/>
      <c r="G32" s="143"/>
      <c r="I32" s="1" t="b">
        <v>1</v>
      </c>
      <c r="J32" s="143" t="s">
        <v>101</v>
      </c>
      <c r="K32" s="143"/>
      <c r="L32" s="143"/>
      <c r="M32" s="143"/>
      <c r="O32" s="1" t="b">
        <v>1</v>
      </c>
      <c r="P32" s="143" t="s">
        <v>101</v>
      </c>
      <c r="Q32" s="143"/>
      <c r="R32" s="143"/>
      <c r="S32" s="143"/>
      <c r="U32" s="1" t="b">
        <v>0</v>
      </c>
      <c r="V32" s="143" t="s">
        <v>101</v>
      </c>
      <c r="W32" s="143"/>
      <c r="X32" s="143"/>
      <c r="Y32" s="143"/>
      <c r="AA32" s="85" t="b">
        <v>0</v>
      </c>
      <c r="AB32" s="143" t="s">
        <v>101</v>
      </c>
      <c r="AC32" s="143"/>
      <c r="AD32" s="143"/>
      <c r="AE32" s="143"/>
    </row>
    <row r="33" spans="1:31" ht="17.399999999999999" customHeight="1">
      <c r="C33" s="148">
        <v>2</v>
      </c>
      <c r="D33" s="149"/>
      <c r="E33" s="149"/>
      <c r="F33" s="149"/>
      <c r="G33" s="149"/>
      <c r="I33" s="148">
        <v>1</v>
      </c>
      <c r="J33" s="149"/>
      <c r="K33" s="149"/>
      <c r="L33" s="149"/>
      <c r="M33" s="149"/>
      <c r="O33" s="148">
        <v>0.5</v>
      </c>
      <c r="P33" s="149"/>
      <c r="Q33" s="149"/>
      <c r="R33" s="149"/>
      <c r="S33" s="149"/>
      <c r="U33" s="144"/>
      <c r="V33" s="145"/>
      <c r="W33" s="145"/>
      <c r="X33" s="145"/>
      <c r="Y33" s="146"/>
      <c r="AA33" s="148"/>
      <c r="AB33" s="149"/>
      <c r="AC33" s="149"/>
      <c r="AD33" s="149"/>
      <c r="AE33" s="149"/>
    </row>
    <row r="34" spans="1:31" ht="17.399999999999999" customHeight="1">
      <c r="B34" s="3"/>
      <c r="C34" s="12" t="s">
        <v>0</v>
      </c>
      <c r="D34" s="21" t="s">
        <v>3</v>
      </c>
      <c r="E34" s="150" t="s">
        <v>4</v>
      </c>
      <c r="F34" s="28" t="s">
        <v>4</v>
      </c>
      <c r="G34" s="12" t="s">
        <v>5</v>
      </c>
      <c r="H34" s="94"/>
      <c r="I34" s="12" t="s">
        <v>0</v>
      </c>
      <c r="J34" s="21" t="s">
        <v>3</v>
      </c>
      <c r="K34" s="150" t="s">
        <v>4</v>
      </c>
      <c r="L34" s="28" t="s">
        <v>4</v>
      </c>
      <c r="M34" s="12" t="s">
        <v>5</v>
      </c>
      <c r="O34" s="12" t="s">
        <v>0</v>
      </c>
      <c r="P34" s="21" t="s">
        <v>3</v>
      </c>
      <c r="Q34" s="150" t="s">
        <v>4</v>
      </c>
      <c r="R34" s="28" t="s">
        <v>4</v>
      </c>
      <c r="S34" s="12" t="s">
        <v>5</v>
      </c>
      <c r="T34" s="3"/>
      <c r="U34" s="12" t="s">
        <v>0</v>
      </c>
      <c r="V34" s="45" t="s">
        <v>3</v>
      </c>
      <c r="W34" s="150" t="s">
        <v>4</v>
      </c>
      <c r="X34" s="28" t="s">
        <v>4</v>
      </c>
      <c r="Y34" s="12" t="s">
        <v>5</v>
      </c>
      <c r="AA34" s="12" t="s">
        <v>0</v>
      </c>
      <c r="AB34" s="86" t="s">
        <v>3</v>
      </c>
      <c r="AC34" s="150" t="s">
        <v>4</v>
      </c>
      <c r="AD34" s="28" t="s">
        <v>4</v>
      </c>
      <c r="AE34" s="12" t="s">
        <v>5</v>
      </c>
    </row>
    <row r="35" spans="1:31" ht="17.399999999999999" customHeight="1">
      <c r="C35" s="12" t="s">
        <v>1</v>
      </c>
      <c r="D35" s="21" t="s">
        <v>1</v>
      </c>
      <c r="E35" s="150"/>
      <c r="F35" s="20" t="str">
        <f>$D$3</f>
        <v>inches</v>
      </c>
      <c r="G35" s="12" t="s">
        <v>2</v>
      </c>
      <c r="H35" s="94"/>
      <c r="I35" s="12" t="s">
        <v>1</v>
      </c>
      <c r="J35" s="21" t="s">
        <v>1</v>
      </c>
      <c r="K35" s="150"/>
      <c r="L35" s="20" t="str">
        <f>$D$3</f>
        <v>inches</v>
      </c>
      <c r="M35" s="20" t="str">
        <f>$D$3</f>
        <v>inches</v>
      </c>
      <c r="N35" s="3"/>
      <c r="O35" s="12" t="s">
        <v>1</v>
      </c>
      <c r="P35" s="21" t="s">
        <v>1</v>
      </c>
      <c r="Q35" s="150"/>
      <c r="R35" s="20" t="str">
        <f>$D$3</f>
        <v>inches</v>
      </c>
      <c r="S35" s="20" t="str">
        <f>$D$3</f>
        <v>inches</v>
      </c>
      <c r="U35" s="12" t="s">
        <v>1</v>
      </c>
      <c r="V35" s="45" t="s">
        <v>1</v>
      </c>
      <c r="W35" s="150"/>
      <c r="X35" s="20" t="str">
        <f>$D$3</f>
        <v>inches</v>
      </c>
      <c r="Y35" s="20" t="str">
        <f>$D$3</f>
        <v>inches</v>
      </c>
      <c r="AA35" s="12" t="s">
        <v>1</v>
      </c>
      <c r="AB35" s="86" t="s">
        <v>1</v>
      </c>
      <c r="AC35" s="150"/>
      <c r="AD35" s="20" t="str">
        <f>$D$3</f>
        <v>inches</v>
      </c>
      <c r="AE35" s="20" t="str">
        <f>$D$3</f>
        <v>inches</v>
      </c>
    </row>
    <row r="36" spans="1:31" ht="17.399999999999999" customHeight="1">
      <c r="C36" s="8">
        <v>0</v>
      </c>
      <c r="D36" s="5">
        <f t="shared" ref="D36:D48" si="34">SQRT(C36)</f>
        <v>0</v>
      </c>
      <c r="E36" s="5">
        <f>IF( I7&lt;C7,MAX(E10:E28),  IF(O7&lt;I7,MAX(K10:K28),  IF(U7&lt;O7,MAX(Q10:Q28),   IF(AA7&lt;U7,MAX(W10:W28),   IF(AG7&lt;AA7,MAX(AC10:AC28),  IF(AM7&lt;AG7,MAX(AI10:AI28),  IF(AS7&lt;AM7,MAX(AO10:AO28),  IF(AY7&lt;AS7,MAX(AU10:AU28),  IF(BE7&lt;AY7,MAX(BA10:BA28),  IF(BK7&lt;BE7,MAX(BG10:BG28),0)   )   )   )))))))</f>
        <v>496</v>
      </c>
      <c r="F36" s="8">
        <f t="shared" ref="F36:F48" si="35">E36*E$1</f>
        <v>4.9600000000000005E-2</v>
      </c>
      <c r="G36" s="84">
        <f>IF( I7&lt;C7,MIN(G10:G28),  IF(O7&lt;I7,MIN(M10:M28),  IF(U7&lt;O7,MIN(S10:S28),   IF(AA7&lt;U7,MIN(Y10:Y28),   IF(AG7&lt;AA7,MIN(AE10:AE28),  IF(AM7&lt;AG7,MIN(AK10:AK28),  IF(AS7&lt;AM7,MIN(AQ10:AQ28),  IF(AY7&lt;AS7,MIN(AW10:AW28),  IF(BE7&lt;AY7,MIN(BC10:BC28),  IF(BK7&lt;BE7,MIN(BI10:BI28),0)   )   )   )))))))</f>
        <v>26.950399999999998</v>
      </c>
      <c r="I36" s="8">
        <v>0</v>
      </c>
      <c r="J36" s="5">
        <f t="shared" ref="J36:J47" si="36">SQRT(I36)</f>
        <v>0</v>
      </c>
      <c r="K36" s="5">
        <f>MIN(E36:E54)</f>
        <v>492.5</v>
      </c>
      <c r="L36" s="8">
        <f t="shared" ref="L36:L47" si="37">K36*E$1</f>
        <v>4.9250000000000002E-2</v>
      </c>
      <c r="M36" s="84">
        <f>MAX(G36:G54)</f>
        <v>26.950749999999999</v>
      </c>
      <c r="N36" s="3"/>
      <c r="O36" s="8">
        <v>0</v>
      </c>
      <c r="P36" s="5">
        <f t="shared" ref="P36:P47" si="38">SQRT(O36)</f>
        <v>0</v>
      </c>
      <c r="Q36" s="5">
        <f>MIN(K36:K54)</f>
        <v>470.5</v>
      </c>
      <c r="R36" s="8">
        <f t="shared" ref="R36:R47" si="39">Q36*E$1</f>
        <v>4.7050000000000002E-2</v>
      </c>
      <c r="S36" s="84">
        <f>MAX(M36:M54)</f>
        <v>26.952950000000001</v>
      </c>
      <c r="U36" s="8">
        <v>0</v>
      </c>
      <c r="V36" s="5">
        <f t="shared" ref="V36:V47" si="40">SQRT(U36)</f>
        <v>0</v>
      </c>
      <c r="W36" s="5">
        <f>MIN(Q36:Q54)</f>
        <v>440.5</v>
      </c>
      <c r="X36" s="8">
        <f t="shared" ref="X36:X47" si="41">W36*E$1</f>
        <v>4.4049999999999999E-2</v>
      </c>
      <c r="Y36" s="84">
        <f>MAX(S36:S54)</f>
        <v>26.955950000000001</v>
      </c>
      <c r="AA36" s="8">
        <v>0</v>
      </c>
      <c r="AB36" s="5">
        <f t="shared" ref="AB36:AB47" si="42">SQRT(AA36)</f>
        <v>0</v>
      </c>
      <c r="AC36" s="5">
        <f>MIN(W36:W54)</f>
        <v>440.5</v>
      </c>
      <c r="AD36" s="8">
        <f t="shared" ref="AD36:AD47" si="43">AC36*K$1</f>
        <v>0</v>
      </c>
      <c r="AE36" s="84">
        <f>MAX(Y36:Y54)</f>
        <v>26.955950000000001</v>
      </c>
    </row>
    <row r="37" spans="1:31" ht="17.399999999999999" customHeight="1">
      <c r="C37" s="8">
        <v>0.1</v>
      </c>
      <c r="D37" s="5">
        <f t="shared" si="34"/>
        <v>0.31622776601683794</v>
      </c>
      <c r="E37" s="25">
        <v>496</v>
      </c>
      <c r="F37" s="8">
        <f t="shared" si="35"/>
        <v>4.9600000000000005E-2</v>
      </c>
      <c r="G37" s="84">
        <f t="shared" ref="G37:G48" si="44">D$2-F37</f>
        <v>26.950399999999998</v>
      </c>
      <c r="I37" s="8">
        <v>0.1</v>
      </c>
      <c r="J37" s="5">
        <f t="shared" si="36"/>
        <v>0.31622776601683794</v>
      </c>
      <c r="K37" s="25">
        <v>492.5</v>
      </c>
      <c r="L37" s="8">
        <f t="shared" si="37"/>
        <v>4.9250000000000002E-2</v>
      </c>
      <c r="M37" s="84">
        <f t="shared" ref="M37:M47" si="45">D$2-L37</f>
        <v>26.950749999999999</v>
      </c>
      <c r="O37" s="8">
        <v>0.06</v>
      </c>
      <c r="P37" s="5">
        <f t="shared" si="38"/>
        <v>0.2449489742783178</v>
      </c>
      <c r="Q37" s="11">
        <v>469.5</v>
      </c>
      <c r="R37" s="8">
        <f t="shared" si="39"/>
        <v>4.6950000000000006E-2</v>
      </c>
      <c r="S37" s="84">
        <f t="shared" ref="S37:S47" si="46">D$2-R37</f>
        <v>26.953050000000001</v>
      </c>
      <c r="U37" s="8">
        <v>0.1</v>
      </c>
      <c r="V37" s="5">
        <f t="shared" si="40"/>
        <v>0.31622776601683794</v>
      </c>
      <c r="W37" s="25">
        <v>672</v>
      </c>
      <c r="X37" s="8">
        <f t="shared" si="41"/>
        <v>6.720000000000001E-2</v>
      </c>
      <c r="Y37" s="84">
        <f t="shared" ref="Y37:Y47" si="47">D$2-X37</f>
        <v>26.9328</v>
      </c>
      <c r="AA37" s="8">
        <v>0.1</v>
      </c>
      <c r="AB37" s="5">
        <f t="shared" si="42"/>
        <v>0.31622776601683794</v>
      </c>
      <c r="AC37" s="25">
        <v>672</v>
      </c>
      <c r="AD37" s="8">
        <f t="shared" si="43"/>
        <v>0</v>
      </c>
      <c r="AE37" s="84">
        <f>D$2-AD37</f>
        <v>27</v>
      </c>
    </row>
    <row r="38" spans="1:31" ht="17.399999999999999" customHeight="1">
      <c r="A38" s="140" t="s">
        <v>101</v>
      </c>
      <c r="B38" s="141"/>
      <c r="C38" s="8">
        <v>0.25</v>
      </c>
      <c r="D38" s="5">
        <f t="shared" si="34"/>
        <v>0.5</v>
      </c>
      <c r="E38" s="11">
        <v>496</v>
      </c>
      <c r="F38" s="8">
        <f t="shared" si="35"/>
        <v>4.9600000000000005E-2</v>
      </c>
      <c r="G38" s="84">
        <f t="shared" si="44"/>
        <v>26.950399999999998</v>
      </c>
      <c r="I38" s="8">
        <v>0.25</v>
      </c>
      <c r="J38" s="5">
        <f t="shared" si="36"/>
        <v>0.5</v>
      </c>
      <c r="K38" s="11">
        <v>492.5</v>
      </c>
      <c r="L38" s="8">
        <f t="shared" si="37"/>
        <v>4.9250000000000002E-2</v>
      </c>
      <c r="M38" s="84">
        <f t="shared" si="45"/>
        <v>26.950749999999999</v>
      </c>
      <c r="O38" s="8">
        <v>0.5</v>
      </c>
      <c r="P38" s="5">
        <f t="shared" si="38"/>
        <v>0.70710678118654757</v>
      </c>
      <c r="Q38" s="11">
        <v>466</v>
      </c>
      <c r="R38" s="8">
        <f t="shared" si="39"/>
        <v>4.6600000000000003E-2</v>
      </c>
      <c r="S38" s="84">
        <f t="shared" si="46"/>
        <v>26.953399999999998</v>
      </c>
      <c r="U38" s="8">
        <v>0.25</v>
      </c>
      <c r="V38" s="5">
        <f t="shared" si="40"/>
        <v>0.5</v>
      </c>
      <c r="W38" s="11">
        <v>687</v>
      </c>
      <c r="X38" s="8">
        <f t="shared" si="41"/>
        <v>6.8699999999999997E-2</v>
      </c>
      <c r="Y38" s="84">
        <f t="shared" si="47"/>
        <v>26.9313</v>
      </c>
      <c r="AA38" s="8">
        <v>0.25</v>
      </c>
      <c r="AB38" s="5">
        <f t="shared" si="42"/>
        <v>0.5</v>
      </c>
      <c r="AC38" s="11">
        <v>687</v>
      </c>
      <c r="AD38" s="8">
        <f t="shared" si="43"/>
        <v>0</v>
      </c>
      <c r="AE38" s="84">
        <f t="shared" ref="AE38:AE47" si="48">D$2-AD38</f>
        <v>27</v>
      </c>
    </row>
    <row r="39" spans="1:31" ht="17.399999999999999" customHeight="1">
      <c r="A39" s="140"/>
      <c r="B39" s="141"/>
      <c r="C39" s="8">
        <v>0.5</v>
      </c>
      <c r="D39" s="5">
        <f t="shared" si="34"/>
        <v>0.70710678118654757</v>
      </c>
      <c r="E39" s="11">
        <v>495.5</v>
      </c>
      <c r="F39" s="8">
        <f t="shared" si="35"/>
        <v>4.9550000000000004E-2</v>
      </c>
      <c r="G39" s="84">
        <f t="shared" si="44"/>
        <v>26.95045</v>
      </c>
      <c r="I39" s="8">
        <v>0.5</v>
      </c>
      <c r="J39" s="5">
        <f t="shared" si="36"/>
        <v>0.70710678118654757</v>
      </c>
      <c r="K39" s="11">
        <v>492</v>
      </c>
      <c r="L39" s="8">
        <f t="shared" si="37"/>
        <v>4.9200000000000001E-2</v>
      </c>
      <c r="M39" s="84">
        <f t="shared" si="45"/>
        <v>26.950800000000001</v>
      </c>
      <c r="O39" s="8">
        <v>1</v>
      </c>
      <c r="P39" s="5">
        <f t="shared" si="38"/>
        <v>1</v>
      </c>
      <c r="Q39" s="11">
        <v>464.5</v>
      </c>
      <c r="R39" s="8">
        <f t="shared" si="39"/>
        <v>4.6450000000000005E-2</v>
      </c>
      <c r="S39" s="84">
        <f t="shared" si="46"/>
        <v>26.95355</v>
      </c>
      <c r="U39" s="8">
        <v>0.5</v>
      </c>
      <c r="V39" s="5">
        <f t="shared" si="40"/>
        <v>0.70710678118654757</v>
      </c>
      <c r="W39" s="11">
        <v>702</v>
      </c>
      <c r="X39" s="8">
        <f t="shared" si="41"/>
        <v>7.0199999999999999E-2</v>
      </c>
      <c r="Y39" s="84">
        <f t="shared" si="47"/>
        <v>26.9298</v>
      </c>
      <c r="AA39" s="8">
        <v>0.5</v>
      </c>
      <c r="AB39" s="5">
        <f t="shared" si="42"/>
        <v>0.70710678118654757</v>
      </c>
      <c r="AC39" s="11">
        <v>702</v>
      </c>
      <c r="AD39" s="8">
        <f t="shared" si="43"/>
        <v>0</v>
      </c>
      <c r="AE39" s="84">
        <f t="shared" si="48"/>
        <v>27</v>
      </c>
    </row>
    <row r="40" spans="1:31" ht="17.399999999999999" customHeight="1">
      <c r="A40" s="140"/>
      <c r="B40" s="141"/>
      <c r="C40" s="8">
        <v>1</v>
      </c>
      <c r="D40" s="5">
        <f t="shared" si="34"/>
        <v>1</v>
      </c>
      <c r="E40" s="11">
        <v>495</v>
      </c>
      <c r="F40" s="8">
        <f t="shared" si="35"/>
        <v>4.9500000000000002E-2</v>
      </c>
      <c r="G40" s="84">
        <f t="shared" si="44"/>
        <v>26.950500000000002</v>
      </c>
      <c r="I40" s="8">
        <v>1</v>
      </c>
      <c r="J40" s="5">
        <f t="shared" si="36"/>
        <v>1</v>
      </c>
      <c r="K40" s="11">
        <v>490.5</v>
      </c>
      <c r="L40" s="8">
        <f t="shared" si="37"/>
        <v>4.9050000000000003E-2</v>
      </c>
      <c r="M40" s="84">
        <f t="shared" si="45"/>
        <v>26.950949999999999</v>
      </c>
      <c r="O40" s="8">
        <v>2</v>
      </c>
      <c r="P40" s="5">
        <f t="shared" si="38"/>
        <v>1.4142135623730951</v>
      </c>
      <c r="Q40" s="11">
        <v>461.5</v>
      </c>
      <c r="R40" s="8">
        <f t="shared" si="39"/>
        <v>4.6150000000000004E-2</v>
      </c>
      <c r="S40" s="84">
        <f t="shared" si="46"/>
        <v>26.953849999999999</v>
      </c>
      <c r="U40" s="8">
        <v>1</v>
      </c>
      <c r="V40" s="5">
        <f t="shared" si="40"/>
        <v>1</v>
      </c>
      <c r="W40" s="11">
        <v>727</v>
      </c>
      <c r="X40" s="8">
        <f t="shared" si="41"/>
        <v>7.2700000000000001E-2</v>
      </c>
      <c r="Y40" s="84">
        <f t="shared" si="47"/>
        <v>26.927299999999999</v>
      </c>
      <c r="AA40" s="8">
        <v>1</v>
      </c>
      <c r="AB40" s="5">
        <f t="shared" si="42"/>
        <v>1</v>
      </c>
      <c r="AC40" s="11">
        <v>727</v>
      </c>
      <c r="AD40" s="8">
        <f t="shared" si="43"/>
        <v>0</v>
      </c>
      <c r="AE40" s="84">
        <f t="shared" si="48"/>
        <v>27</v>
      </c>
    </row>
    <row r="41" spans="1:31" ht="17.399999999999999" customHeight="1">
      <c r="A41" s="140"/>
      <c r="B41" s="141"/>
      <c r="C41" s="8">
        <v>2</v>
      </c>
      <c r="D41" s="5">
        <f t="shared" si="34"/>
        <v>1.4142135623730951</v>
      </c>
      <c r="E41" s="11">
        <v>494</v>
      </c>
      <c r="F41" s="8">
        <f t="shared" si="35"/>
        <v>4.9399999999999999E-2</v>
      </c>
      <c r="G41" s="84">
        <f t="shared" si="44"/>
        <v>26.950600000000001</v>
      </c>
      <c r="I41" s="8">
        <v>2</v>
      </c>
      <c r="J41" s="5">
        <f t="shared" si="36"/>
        <v>1.4142135623730951</v>
      </c>
      <c r="K41" s="11">
        <v>486.5</v>
      </c>
      <c r="L41" s="8">
        <f t="shared" si="37"/>
        <v>4.8650000000000006E-2</v>
      </c>
      <c r="M41" s="84">
        <f t="shared" si="45"/>
        <v>26.951350000000001</v>
      </c>
      <c r="O41" s="8">
        <v>4</v>
      </c>
      <c r="P41" s="5">
        <f t="shared" si="38"/>
        <v>2</v>
      </c>
      <c r="Q41" s="11">
        <v>458.5</v>
      </c>
      <c r="R41" s="8">
        <f t="shared" si="39"/>
        <v>4.5850000000000002E-2</v>
      </c>
      <c r="S41" s="84">
        <f t="shared" si="46"/>
        <v>26.954149999999998</v>
      </c>
      <c r="U41" s="8">
        <v>2</v>
      </c>
      <c r="V41" s="5">
        <f t="shared" si="40"/>
        <v>1.4142135623730951</v>
      </c>
      <c r="W41" s="11">
        <v>754</v>
      </c>
      <c r="X41" s="8">
        <f t="shared" si="41"/>
        <v>7.5400000000000009E-2</v>
      </c>
      <c r="Y41" s="84">
        <f t="shared" si="47"/>
        <v>26.924600000000002</v>
      </c>
      <c r="AA41" s="8">
        <v>2</v>
      </c>
      <c r="AB41" s="5">
        <f t="shared" si="42"/>
        <v>1.4142135623730951</v>
      </c>
      <c r="AC41" s="11">
        <v>754</v>
      </c>
      <c r="AD41" s="8">
        <f t="shared" si="43"/>
        <v>0</v>
      </c>
      <c r="AE41" s="84">
        <f t="shared" si="48"/>
        <v>27</v>
      </c>
    </row>
    <row r="42" spans="1:31" ht="17.399999999999999" customHeight="1">
      <c r="A42" s="140"/>
      <c r="B42" s="141"/>
      <c r="C42" s="8">
        <v>4</v>
      </c>
      <c r="D42" s="5">
        <f t="shared" si="34"/>
        <v>2</v>
      </c>
      <c r="E42" s="11">
        <v>493.5</v>
      </c>
      <c r="F42" s="8">
        <f t="shared" si="35"/>
        <v>4.9350000000000005E-2</v>
      </c>
      <c r="G42" s="84">
        <f t="shared" si="44"/>
        <v>26.95065</v>
      </c>
      <c r="I42" s="8">
        <v>4</v>
      </c>
      <c r="J42" s="5">
        <f t="shared" si="36"/>
        <v>2</v>
      </c>
      <c r="K42" s="11">
        <v>481.5</v>
      </c>
      <c r="L42" s="8">
        <f t="shared" si="37"/>
        <v>4.8150000000000005E-2</v>
      </c>
      <c r="M42" s="84">
        <f t="shared" si="45"/>
        <v>26.95185</v>
      </c>
      <c r="O42" s="8">
        <v>8</v>
      </c>
      <c r="P42" s="5">
        <f t="shared" si="38"/>
        <v>2.8284271247461903</v>
      </c>
      <c r="Q42" s="11">
        <v>454</v>
      </c>
      <c r="R42" s="8">
        <f t="shared" si="39"/>
        <v>4.5400000000000003E-2</v>
      </c>
      <c r="S42" s="84">
        <f t="shared" si="46"/>
        <v>26.954599999999999</v>
      </c>
      <c r="U42" s="8">
        <v>4</v>
      </c>
      <c r="V42" s="5">
        <f t="shared" si="40"/>
        <v>2</v>
      </c>
      <c r="W42" s="11">
        <v>800.5</v>
      </c>
      <c r="X42" s="8">
        <f t="shared" si="41"/>
        <v>8.005000000000001E-2</v>
      </c>
      <c r="Y42" s="84">
        <f t="shared" si="47"/>
        <v>26.91995</v>
      </c>
      <c r="AA42" s="8">
        <v>4</v>
      </c>
      <c r="AB42" s="5">
        <f t="shared" si="42"/>
        <v>2</v>
      </c>
      <c r="AC42" s="11">
        <v>800.5</v>
      </c>
      <c r="AD42" s="8">
        <f t="shared" si="43"/>
        <v>0</v>
      </c>
      <c r="AE42" s="84">
        <f t="shared" si="48"/>
        <v>27</v>
      </c>
    </row>
    <row r="43" spans="1:31" ht="17.399999999999999" customHeight="1">
      <c r="A43" s="140"/>
      <c r="B43" s="141"/>
      <c r="C43" s="8">
        <v>8</v>
      </c>
      <c r="D43" s="5">
        <f t="shared" si="34"/>
        <v>2.8284271247461903</v>
      </c>
      <c r="E43" s="11">
        <v>493</v>
      </c>
      <c r="F43" s="8">
        <f t="shared" si="35"/>
        <v>4.9300000000000004E-2</v>
      </c>
      <c r="G43" s="84">
        <f t="shared" si="44"/>
        <v>26.950700000000001</v>
      </c>
      <c r="I43" s="8">
        <v>8</v>
      </c>
      <c r="J43" s="5">
        <f t="shared" si="36"/>
        <v>2.8284271247461903</v>
      </c>
      <c r="K43" s="11">
        <v>477.5</v>
      </c>
      <c r="L43" s="8">
        <f t="shared" si="37"/>
        <v>4.7750000000000001E-2</v>
      </c>
      <c r="M43" s="84">
        <f t="shared" si="45"/>
        <v>26.952249999999999</v>
      </c>
      <c r="O43" s="8">
        <v>15</v>
      </c>
      <c r="P43" s="5">
        <f t="shared" si="38"/>
        <v>3.872983346207417</v>
      </c>
      <c r="Q43" s="11">
        <v>450.5</v>
      </c>
      <c r="R43" s="8">
        <f t="shared" si="39"/>
        <v>4.505E-2</v>
      </c>
      <c r="S43" s="84">
        <f t="shared" si="46"/>
        <v>26.95495</v>
      </c>
      <c r="U43" s="8">
        <v>8</v>
      </c>
      <c r="V43" s="5">
        <f t="shared" si="40"/>
        <v>2.8284271247461903</v>
      </c>
      <c r="W43" s="11">
        <v>816</v>
      </c>
      <c r="X43" s="8">
        <f t="shared" si="41"/>
        <v>8.1600000000000006E-2</v>
      </c>
      <c r="Y43" s="84">
        <f t="shared" si="47"/>
        <v>26.918399999999998</v>
      </c>
      <c r="AA43" s="8">
        <v>8</v>
      </c>
      <c r="AB43" s="5">
        <f t="shared" si="42"/>
        <v>2.8284271247461903</v>
      </c>
      <c r="AC43" s="11">
        <v>816</v>
      </c>
      <c r="AD43" s="8">
        <f t="shared" si="43"/>
        <v>0</v>
      </c>
      <c r="AE43" s="84">
        <f t="shared" si="48"/>
        <v>27</v>
      </c>
    </row>
    <row r="44" spans="1:31" ht="17.399999999999999" customHeight="1">
      <c r="A44" s="140"/>
      <c r="B44" s="141"/>
      <c r="C44" s="8">
        <v>15</v>
      </c>
      <c r="D44" s="5">
        <f t="shared" si="34"/>
        <v>3.872983346207417</v>
      </c>
      <c r="E44" s="11">
        <v>492.5</v>
      </c>
      <c r="F44" s="8">
        <f t="shared" si="35"/>
        <v>4.9250000000000002E-2</v>
      </c>
      <c r="G44" s="84">
        <f t="shared" si="44"/>
        <v>26.950749999999999</v>
      </c>
      <c r="I44" s="8">
        <v>15</v>
      </c>
      <c r="J44" s="5">
        <f t="shared" si="36"/>
        <v>3.872983346207417</v>
      </c>
      <c r="K44" s="11">
        <v>474.5</v>
      </c>
      <c r="L44" s="8">
        <f t="shared" si="37"/>
        <v>4.7449999999999999E-2</v>
      </c>
      <c r="M44" s="84">
        <f t="shared" si="45"/>
        <v>26.952549999999999</v>
      </c>
      <c r="O44" s="8">
        <v>30</v>
      </c>
      <c r="P44" s="5">
        <f t="shared" si="38"/>
        <v>5.4772255750516612</v>
      </c>
      <c r="Q44" s="11">
        <v>447</v>
      </c>
      <c r="R44" s="8">
        <f t="shared" si="39"/>
        <v>4.4700000000000004E-2</v>
      </c>
      <c r="S44" s="84">
        <f t="shared" si="46"/>
        <v>26.955300000000001</v>
      </c>
      <c r="U44" s="8">
        <v>15</v>
      </c>
      <c r="V44" s="5">
        <f t="shared" si="40"/>
        <v>3.872983346207417</v>
      </c>
      <c r="W44" s="11">
        <v>836.5</v>
      </c>
      <c r="X44" s="8">
        <f t="shared" si="41"/>
        <v>8.3650000000000002E-2</v>
      </c>
      <c r="Y44" s="84">
        <f t="shared" si="47"/>
        <v>26.916350000000001</v>
      </c>
      <c r="AA44" s="8">
        <v>15</v>
      </c>
      <c r="AB44" s="5">
        <f t="shared" si="42"/>
        <v>3.872983346207417</v>
      </c>
      <c r="AC44" s="11">
        <v>836.5</v>
      </c>
      <c r="AD44" s="8">
        <f t="shared" si="43"/>
        <v>0</v>
      </c>
      <c r="AE44" s="84">
        <f t="shared" si="48"/>
        <v>27</v>
      </c>
    </row>
    <row r="45" spans="1:31" ht="17.399999999999999" customHeight="1">
      <c r="C45" s="8">
        <v>30</v>
      </c>
      <c r="D45" s="5">
        <f t="shared" si="34"/>
        <v>5.4772255750516612</v>
      </c>
      <c r="E45" s="11">
        <v>492.5</v>
      </c>
      <c r="F45" s="8">
        <f t="shared" si="35"/>
        <v>4.9250000000000002E-2</v>
      </c>
      <c r="G45" s="84">
        <f t="shared" si="44"/>
        <v>26.950749999999999</v>
      </c>
      <c r="I45" s="8">
        <v>44</v>
      </c>
      <c r="J45" s="5">
        <f t="shared" si="36"/>
        <v>6.6332495807107996</v>
      </c>
      <c r="K45" s="11">
        <v>472.5</v>
      </c>
      <c r="L45" s="8">
        <f t="shared" si="37"/>
        <v>4.725E-2</v>
      </c>
      <c r="M45" s="84">
        <f t="shared" si="45"/>
        <v>26.952750000000002</v>
      </c>
      <c r="O45" s="8">
        <v>60</v>
      </c>
      <c r="P45" s="5">
        <f t="shared" si="38"/>
        <v>7.745966692414834</v>
      </c>
      <c r="Q45" s="11">
        <v>444.5</v>
      </c>
      <c r="R45" s="8">
        <f t="shared" si="39"/>
        <v>4.4450000000000003E-2</v>
      </c>
      <c r="S45" s="84">
        <f t="shared" si="46"/>
        <v>26.955549999999999</v>
      </c>
      <c r="U45" s="8">
        <v>30</v>
      </c>
      <c r="V45" s="5">
        <f t="shared" si="40"/>
        <v>5.4772255750516612</v>
      </c>
      <c r="W45" s="11">
        <v>850</v>
      </c>
      <c r="X45" s="8">
        <f t="shared" si="41"/>
        <v>8.5000000000000006E-2</v>
      </c>
      <c r="Y45" s="84">
        <f t="shared" si="47"/>
        <v>26.914999999999999</v>
      </c>
      <c r="AA45" s="8">
        <v>30</v>
      </c>
      <c r="AB45" s="5">
        <f t="shared" si="42"/>
        <v>5.4772255750516612</v>
      </c>
      <c r="AC45" s="11">
        <v>850</v>
      </c>
      <c r="AD45" s="8">
        <f t="shared" si="43"/>
        <v>0</v>
      </c>
      <c r="AE45" s="84">
        <f t="shared" si="48"/>
        <v>27</v>
      </c>
    </row>
    <row r="46" spans="1:31" ht="17.399999999999999" customHeight="1">
      <c r="C46" s="8">
        <v>70</v>
      </c>
      <c r="D46" s="5">
        <f t="shared" si="34"/>
        <v>8.3666002653407556</v>
      </c>
      <c r="E46" s="11">
        <v>492.5</v>
      </c>
      <c r="F46" s="8">
        <f t="shared" si="35"/>
        <v>4.9250000000000002E-2</v>
      </c>
      <c r="G46" s="84">
        <f t="shared" si="44"/>
        <v>26.950749999999999</v>
      </c>
      <c r="I46" s="8">
        <v>60</v>
      </c>
      <c r="J46" s="5">
        <f t="shared" si="36"/>
        <v>7.745966692414834</v>
      </c>
      <c r="K46" s="11">
        <v>471.5</v>
      </c>
      <c r="L46" s="8">
        <f t="shared" si="37"/>
        <v>4.7150000000000004E-2</v>
      </c>
      <c r="M46" s="84">
        <f t="shared" si="45"/>
        <v>26.952850000000002</v>
      </c>
      <c r="O46" s="8">
        <v>110</v>
      </c>
      <c r="P46" s="5">
        <f t="shared" si="38"/>
        <v>10.488088481701515</v>
      </c>
      <c r="Q46" s="11">
        <v>443.5</v>
      </c>
      <c r="R46" s="8">
        <f t="shared" si="39"/>
        <v>4.4350000000000001E-2</v>
      </c>
      <c r="S46" s="84">
        <f t="shared" si="46"/>
        <v>26.955649999999999</v>
      </c>
      <c r="U46" s="8">
        <v>60</v>
      </c>
      <c r="V46" s="5">
        <f t="shared" si="40"/>
        <v>7.745966692414834</v>
      </c>
      <c r="W46" s="11">
        <v>860</v>
      </c>
      <c r="X46" s="8">
        <f t="shared" si="41"/>
        <v>8.6000000000000007E-2</v>
      </c>
      <c r="Y46" s="84">
        <f t="shared" si="47"/>
        <v>26.914000000000001</v>
      </c>
      <c r="AA46" s="8">
        <v>60</v>
      </c>
      <c r="AB46" s="5">
        <f t="shared" si="42"/>
        <v>7.745966692414834</v>
      </c>
      <c r="AC46" s="11">
        <v>860</v>
      </c>
      <c r="AD46" s="8">
        <f t="shared" si="43"/>
        <v>0</v>
      </c>
      <c r="AE46" s="84">
        <f t="shared" si="48"/>
        <v>27</v>
      </c>
    </row>
    <row r="47" spans="1:31" ht="17.399999999999999" customHeight="1">
      <c r="C47" s="8">
        <v>140</v>
      </c>
      <c r="D47" s="5">
        <f t="shared" si="34"/>
        <v>11.832159566199232</v>
      </c>
      <c r="E47" s="11">
        <v>492.5</v>
      </c>
      <c r="F47" s="8">
        <f t="shared" si="35"/>
        <v>4.9250000000000002E-2</v>
      </c>
      <c r="G47" s="84">
        <f t="shared" si="44"/>
        <v>26.950749999999999</v>
      </c>
      <c r="I47" s="8">
        <v>218</v>
      </c>
      <c r="J47" s="5">
        <f t="shared" si="36"/>
        <v>14.7648230602334</v>
      </c>
      <c r="K47" s="11">
        <v>470.5</v>
      </c>
      <c r="L47" s="8">
        <f t="shared" si="37"/>
        <v>4.7050000000000002E-2</v>
      </c>
      <c r="M47" s="84">
        <f t="shared" si="45"/>
        <v>26.952950000000001</v>
      </c>
      <c r="O47" s="8">
        <v>930</v>
      </c>
      <c r="P47" s="5">
        <f t="shared" si="38"/>
        <v>30.495901363953813</v>
      </c>
      <c r="Q47" s="11">
        <v>440.5</v>
      </c>
      <c r="R47" s="8">
        <f t="shared" si="39"/>
        <v>4.4049999999999999E-2</v>
      </c>
      <c r="S47" s="84">
        <f t="shared" si="46"/>
        <v>26.955950000000001</v>
      </c>
      <c r="U47" s="8">
        <v>115</v>
      </c>
      <c r="V47" s="5">
        <f t="shared" si="40"/>
        <v>10.723805294763608</v>
      </c>
      <c r="W47" s="11">
        <v>867</v>
      </c>
      <c r="X47" s="8">
        <f t="shared" si="41"/>
        <v>8.6699999999999999E-2</v>
      </c>
      <c r="Y47" s="84">
        <f t="shared" si="47"/>
        <v>26.9133</v>
      </c>
      <c r="AA47" s="8">
        <v>115</v>
      </c>
      <c r="AB47" s="5">
        <f t="shared" si="42"/>
        <v>10.723805294763608</v>
      </c>
      <c r="AC47" s="11">
        <v>867</v>
      </c>
      <c r="AD47" s="8">
        <f t="shared" si="43"/>
        <v>0</v>
      </c>
      <c r="AE47" s="84">
        <f t="shared" si="48"/>
        <v>27</v>
      </c>
    </row>
    <row r="48" spans="1:31" ht="17.399999999999999" customHeight="1">
      <c r="C48" s="8">
        <v>215</v>
      </c>
      <c r="D48" s="5">
        <f t="shared" si="34"/>
        <v>14.66287829861518</v>
      </c>
      <c r="E48" s="11">
        <v>492.5</v>
      </c>
      <c r="F48" s="8">
        <f t="shared" si="35"/>
        <v>4.9250000000000002E-2</v>
      </c>
      <c r="G48" s="84">
        <f t="shared" si="44"/>
        <v>26.950749999999999</v>
      </c>
      <c r="I48" s="8"/>
      <c r="J48" s="5"/>
      <c r="K48" s="11"/>
      <c r="L48" s="8"/>
      <c r="M48" s="84"/>
      <c r="O48" s="8"/>
      <c r="P48" s="5"/>
      <c r="Q48" s="11"/>
      <c r="R48" s="8"/>
      <c r="S48" s="84"/>
      <c r="U48" s="8"/>
      <c r="V48" s="5"/>
      <c r="W48" s="11"/>
      <c r="X48" s="8"/>
      <c r="Y48" s="5"/>
      <c r="AA48" s="8"/>
      <c r="AB48" s="5"/>
      <c r="AC48" s="11"/>
      <c r="AD48" s="8"/>
      <c r="AE48" s="5"/>
    </row>
    <row r="49" spans="3:31" ht="17.399999999999999" customHeight="1">
      <c r="C49" s="8"/>
      <c r="D49" s="5"/>
      <c r="E49" s="11"/>
      <c r="F49" s="8"/>
      <c r="G49" s="84"/>
      <c r="I49" s="8"/>
      <c r="J49" s="5"/>
      <c r="K49" s="11"/>
      <c r="L49" s="8"/>
      <c r="M49" s="84"/>
      <c r="O49" s="8"/>
      <c r="P49" s="5"/>
      <c r="Q49" s="11"/>
      <c r="R49" s="8"/>
      <c r="S49" s="84"/>
      <c r="U49" s="8"/>
      <c r="V49" s="5"/>
      <c r="W49" s="11"/>
      <c r="X49" s="8"/>
      <c r="Y49" s="5"/>
      <c r="AA49" s="8"/>
      <c r="AB49" s="5"/>
      <c r="AC49" s="11"/>
      <c r="AD49" s="8"/>
      <c r="AE49" s="5"/>
    </row>
    <row r="50" spans="3:31" ht="17.399999999999999" customHeight="1">
      <c r="C50" s="24"/>
      <c r="D50" s="5"/>
      <c r="E50" s="5"/>
      <c r="F50" s="8"/>
      <c r="G50" s="84"/>
      <c r="I50" s="24"/>
      <c r="J50" s="5"/>
      <c r="K50" s="5"/>
      <c r="L50" s="8"/>
      <c r="M50" s="84"/>
      <c r="O50" s="24"/>
      <c r="P50" s="5"/>
      <c r="Q50" s="5"/>
      <c r="R50" s="8"/>
      <c r="S50" s="84"/>
      <c r="U50" s="24"/>
      <c r="V50" s="5"/>
      <c r="W50" s="5"/>
      <c r="X50" s="8"/>
      <c r="Y50" s="5"/>
      <c r="AA50" s="24"/>
      <c r="AB50" s="5"/>
      <c r="AC50" s="5"/>
      <c r="AD50" s="8"/>
      <c r="AE50" s="5"/>
    </row>
    <row r="51" spans="3:31" ht="17.399999999999999" customHeight="1">
      <c r="C51" s="8"/>
      <c r="D51" s="5"/>
      <c r="E51" s="5"/>
      <c r="F51" s="8"/>
      <c r="G51" s="84"/>
      <c r="I51" s="8"/>
      <c r="J51" s="5"/>
      <c r="K51" s="5"/>
      <c r="L51" s="8"/>
      <c r="M51" s="84"/>
      <c r="O51" s="5"/>
      <c r="P51" s="5"/>
      <c r="Q51" s="5"/>
      <c r="R51" s="8"/>
      <c r="S51" s="84"/>
      <c r="U51" s="8"/>
      <c r="V51" s="5"/>
      <c r="W51" s="5"/>
      <c r="X51" s="8"/>
      <c r="Y51" s="5"/>
      <c r="AA51" s="8"/>
      <c r="AB51" s="5"/>
      <c r="AC51" s="5"/>
      <c r="AD51" s="8"/>
      <c r="AE51" s="5"/>
    </row>
    <row r="52" spans="3:31" ht="17.399999999999999" customHeight="1">
      <c r="C52" s="8"/>
      <c r="D52" s="5"/>
      <c r="E52" s="5"/>
      <c r="F52" s="8"/>
      <c r="G52" s="84"/>
      <c r="I52" s="8"/>
      <c r="J52" s="5"/>
      <c r="K52" s="5"/>
      <c r="L52" s="8"/>
      <c r="M52" s="84"/>
      <c r="O52" s="5"/>
      <c r="P52" s="5"/>
      <c r="Q52" s="5"/>
      <c r="R52" s="8"/>
      <c r="S52" s="84"/>
      <c r="T52" s="6"/>
      <c r="U52" s="8"/>
      <c r="V52" s="5"/>
      <c r="W52" s="5"/>
      <c r="X52" s="8"/>
      <c r="Y52" s="5"/>
      <c r="AA52" s="8"/>
      <c r="AB52" s="5"/>
      <c r="AC52" s="5"/>
      <c r="AD52" s="8"/>
      <c r="AE52" s="5"/>
    </row>
    <row r="53" spans="3:31" ht="17.399999999999999" customHeight="1">
      <c r="C53" s="8"/>
      <c r="D53" s="10"/>
      <c r="E53" s="10"/>
      <c r="F53" s="8"/>
      <c r="G53" s="10"/>
      <c r="I53" s="8"/>
      <c r="J53" s="8"/>
      <c r="K53" s="8"/>
      <c r="L53" s="8"/>
      <c r="M53" s="8"/>
      <c r="O53" s="8"/>
      <c r="P53" s="8"/>
      <c r="Q53" s="8"/>
      <c r="R53" s="8"/>
      <c r="S53" s="8"/>
      <c r="T53" s="6"/>
      <c r="U53" s="8"/>
      <c r="V53" s="8"/>
      <c r="W53" s="8"/>
      <c r="X53" s="8"/>
      <c r="Y53" s="8"/>
      <c r="AA53" s="8"/>
      <c r="AB53" s="8"/>
      <c r="AC53" s="8"/>
      <c r="AD53" s="8"/>
      <c r="AE53" s="8"/>
    </row>
    <row r="54" spans="3:31" ht="17.399999999999999" customHeight="1">
      <c r="C54" s="8"/>
      <c r="D54" s="5"/>
      <c r="E54" s="5"/>
      <c r="F54" s="8"/>
      <c r="G54" s="8"/>
      <c r="I54" s="8"/>
      <c r="J54" s="8"/>
      <c r="K54" s="8"/>
      <c r="L54" s="8"/>
      <c r="M54" s="8"/>
      <c r="O54" s="8"/>
      <c r="P54" s="8"/>
      <c r="Q54" s="8"/>
      <c r="R54" s="8"/>
      <c r="S54" s="8"/>
      <c r="U54" s="8"/>
      <c r="V54" s="8"/>
      <c r="W54" s="8"/>
      <c r="X54" s="8"/>
      <c r="Y54" s="8"/>
      <c r="AA54" s="8"/>
      <c r="AB54" s="8"/>
      <c r="AC54" s="8"/>
      <c r="AD54" s="8"/>
      <c r="AE54" s="8"/>
    </row>
  </sheetData>
  <mergeCells count="66">
    <mergeCell ref="AY5:BC5"/>
    <mergeCell ref="BE5:BI5"/>
    <mergeCell ref="E8:E9"/>
    <mergeCell ref="K8:K9"/>
    <mergeCell ref="Q8:Q9"/>
    <mergeCell ref="I6:M6"/>
    <mergeCell ref="O6:S6"/>
    <mergeCell ref="U6:Y6"/>
    <mergeCell ref="BK6:BO6"/>
    <mergeCell ref="AA6:AE6"/>
    <mergeCell ref="AM6:AQ6"/>
    <mergeCell ref="AS7:AW7"/>
    <mergeCell ref="AY6:BC6"/>
    <mergeCell ref="BE6:BI6"/>
    <mergeCell ref="AS6:AW6"/>
    <mergeCell ref="Q34:Q35"/>
    <mergeCell ref="AA7:AE7"/>
    <mergeCell ref="AC8:AC9"/>
    <mergeCell ref="W34:W35"/>
    <mergeCell ref="CA9:CF9"/>
    <mergeCell ref="U33:Y33"/>
    <mergeCell ref="U31:Y31"/>
    <mergeCell ref="BE7:BI7"/>
    <mergeCell ref="AO8:AO9"/>
    <mergeCell ref="BA8:BA9"/>
    <mergeCell ref="BG8:BG9"/>
    <mergeCell ref="B1:D1"/>
    <mergeCell ref="C5:G5"/>
    <mergeCell ref="I5:M5"/>
    <mergeCell ref="O5:S5"/>
    <mergeCell ref="AS5:AW5"/>
    <mergeCell ref="AM5:AQ5"/>
    <mergeCell ref="AA5:AE5"/>
    <mergeCell ref="U5:Y5"/>
    <mergeCell ref="BK5:BO5"/>
    <mergeCell ref="W8:W9"/>
    <mergeCell ref="C33:G33"/>
    <mergeCell ref="E34:E35"/>
    <mergeCell ref="I33:M33"/>
    <mergeCell ref="C31:G31"/>
    <mergeCell ref="I31:M31"/>
    <mergeCell ref="C7:G7"/>
    <mergeCell ref="BK7:BO7"/>
    <mergeCell ref="BM8:BM9"/>
    <mergeCell ref="I7:M7"/>
    <mergeCell ref="O7:S7"/>
    <mergeCell ref="U7:Y7"/>
    <mergeCell ref="AM7:AQ7"/>
    <mergeCell ref="AY7:BC7"/>
    <mergeCell ref="C6:G6"/>
    <mergeCell ref="A12:B18"/>
    <mergeCell ref="A38:B44"/>
    <mergeCell ref="AG5:AK5"/>
    <mergeCell ref="AG6:AK6"/>
    <mergeCell ref="AG7:AK7"/>
    <mergeCell ref="J32:M32"/>
    <mergeCell ref="D32:G32"/>
    <mergeCell ref="P32:S32"/>
    <mergeCell ref="V32:Y32"/>
    <mergeCell ref="AA31:AE31"/>
    <mergeCell ref="AB32:AE32"/>
    <mergeCell ref="AA33:AE33"/>
    <mergeCell ref="AC34:AC35"/>
    <mergeCell ref="O31:S31"/>
    <mergeCell ref="K34:K35"/>
    <mergeCell ref="O33:S33"/>
  </mergeCells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61" r:id="rId4" name="Check Box 1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160020</xdr:rowOff>
                  </from>
                  <to>
                    <xdr:col>2</xdr:col>
                    <xdr:colOff>556260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63" r:id="rId5" name="Check Box 3">
              <controlPr defaultSize="0" autoFill="0" autoLine="0" autoPict="0">
                <anchor moveWithCells="1">
                  <from>
                    <xdr:col>8</xdr:col>
                    <xdr:colOff>30480</xdr:colOff>
                    <xdr:row>30</xdr:row>
                    <xdr:rowOff>152400</xdr:rowOff>
                  </from>
                  <to>
                    <xdr:col>8</xdr:col>
                    <xdr:colOff>586740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64" r:id="rId6" name="Check Box 4">
              <controlPr defaultSize="0" autoFill="0" autoLine="0" autoPict="0">
                <anchor moveWithCells="1">
                  <from>
                    <xdr:col>14</xdr:col>
                    <xdr:colOff>7620</xdr:colOff>
                    <xdr:row>31</xdr:row>
                    <xdr:rowOff>15240</xdr:rowOff>
                  </from>
                  <to>
                    <xdr:col>14</xdr:col>
                    <xdr:colOff>563880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65" r:id="rId7" name="Check Box 5">
              <controlPr defaultSize="0" autoFill="0" autoLine="0" autoPict="0">
                <anchor moveWithCells="1">
                  <from>
                    <xdr:col>20</xdr:col>
                    <xdr:colOff>30480</xdr:colOff>
                    <xdr:row>30</xdr:row>
                    <xdr:rowOff>152400</xdr:rowOff>
                  </from>
                  <to>
                    <xdr:col>20</xdr:col>
                    <xdr:colOff>586740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66" r:id="rId8" name="Check Box 6">
              <controlPr defaultSize="0" autoFill="0" autoLine="0" autoPict="0">
                <anchor moveWithCells="1">
                  <from>
                    <xdr:col>26</xdr:col>
                    <xdr:colOff>38100</xdr:colOff>
                    <xdr:row>31</xdr:row>
                    <xdr:rowOff>7620</xdr:rowOff>
                  </from>
                  <to>
                    <xdr:col>26</xdr:col>
                    <xdr:colOff>594360</xdr:colOff>
                    <xdr:row>32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D1:AA40"/>
  <sheetViews>
    <sheetView tabSelected="1" topLeftCell="C32" workbookViewId="0">
      <selection activeCell="E45" sqref="E45"/>
    </sheetView>
  </sheetViews>
  <sheetFormatPr defaultRowHeight="13.2"/>
  <cols>
    <col min="1" max="2" width="8.88671875" style="49"/>
    <col min="3" max="3" width="6.88671875" style="49" customWidth="1"/>
    <col min="4" max="4" width="8" style="49" customWidth="1"/>
    <col min="5" max="5" width="18.109375" style="49" bestFit="1" customWidth="1"/>
    <col min="6" max="6" width="8.88671875" style="49"/>
    <col min="7" max="7" width="12.6640625" style="49" bestFit="1" customWidth="1"/>
    <col min="8" max="8" width="8.88671875" style="49"/>
    <col min="9" max="9" width="12.77734375" style="49" bestFit="1" customWidth="1"/>
    <col min="10" max="10" width="10.44140625" style="49" customWidth="1"/>
    <col min="11" max="11" width="10.77734375" style="49" customWidth="1"/>
    <col min="12" max="12" width="14.109375" style="49" customWidth="1"/>
    <col min="13" max="16" width="8.88671875" style="49"/>
    <col min="17" max="17" width="6.5546875" style="49" customWidth="1"/>
    <col min="18" max="18" width="9.77734375" style="49" bestFit="1" customWidth="1"/>
    <col min="19" max="20" width="8.88671875" style="49"/>
    <col min="21" max="21" width="12.109375" style="49" bestFit="1" customWidth="1"/>
    <col min="22" max="16384" width="8.88671875" style="49"/>
  </cols>
  <sheetData>
    <row r="1" spans="4:12" ht="13.8" thickBot="1"/>
    <row r="2" spans="4:12">
      <c r="D2" s="55">
        <v>1</v>
      </c>
      <c r="E2" s="56" t="s">
        <v>12</v>
      </c>
      <c r="F2" s="57">
        <v>1</v>
      </c>
      <c r="G2" s="56" t="s">
        <v>11</v>
      </c>
      <c r="H2" s="57">
        <v>1</v>
      </c>
      <c r="I2" s="58" t="s">
        <v>10</v>
      </c>
      <c r="J2" s="59" t="s">
        <v>9</v>
      </c>
      <c r="K2" s="175" t="s">
        <v>8</v>
      </c>
      <c r="L2" s="171"/>
    </row>
    <row r="3" spans="4:12" ht="15.6">
      <c r="D3" s="60"/>
      <c r="E3" s="61" t="s">
        <v>16</v>
      </c>
      <c r="F3" s="62"/>
      <c r="G3" s="61" t="s">
        <v>15</v>
      </c>
      <c r="H3" s="62"/>
      <c r="I3" s="63" t="s">
        <v>14</v>
      </c>
      <c r="J3" s="60"/>
      <c r="K3" s="176" t="s">
        <v>13</v>
      </c>
      <c r="L3" s="164"/>
    </row>
    <row r="4" spans="4:12">
      <c r="D4" s="60"/>
      <c r="E4" s="62"/>
      <c r="F4" s="62"/>
      <c r="G4" s="62"/>
      <c r="H4" s="62"/>
      <c r="I4" s="64"/>
      <c r="J4" s="60"/>
      <c r="K4" s="176" t="s">
        <v>17</v>
      </c>
      <c r="L4" s="164"/>
    </row>
    <row r="5" spans="4:12" ht="16.2" thickBot="1">
      <c r="D5" s="65"/>
      <c r="E5" s="66" t="s">
        <v>41</v>
      </c>
      <c r="F5" s="67"/>
      <c r="G5" s="66" t="s">
        <v>20</v>
      </c>
      <c r="H5" s="67"/>
      <c r="I5" s="68" t="s">
        <v>19</v>
      </c>
      <c r="J5" s="65"/>
      <c r="K5" s="177" t="s">
        <v>18</v>
      </c>
      <c r="L5" s="178"/>
    </row>
    <row r="6" spans="4:12" ht="13.8" thickBot="1">
      <c r="D6" s="172" t="s">
        <v>28</v>
      </c>
      <c r="E6" s="173"/>
      <c r="F6" s="173"/>
      <c r="G6" s="173"/>
      <c r="H6" s="173"/>
      <c r="I6" s="174"/>
      <c r="J6" s="167" t="s">
        <v>21</v>
      </c>
      <c r="K6" s="168"/>
      <c r="L6" s="169"/>
    </row>
    <row r="7" spans="4:12" ht="15.6">
      <c r="D7" s="69" t="s">
        <v>33</v>
      </c>
      <c r="E7" s="70"/>
      <c r="F7" s="70">
        <f>F5</f>
        <v>0</v>
      </c>
      <c r="G7" s="160" t="s">
        <v>30</v>
      </c>
      <c r="H7" s="160"/>
      <c r="I7" s="161"/>
      <c r="J7" s="71"/>
      <c r="K7" s="179" t="s">
        <v>22</v>
      </c>
      <c r="L7" s="179"/>
    </row>
    <row r="8" spans="4:12">
      <c r="D8" s="72"/>
      <c r="E8" s="70"/>
      <c r="F8" s="70"/>
      <c r="G8" s="160" t="s">
        <v>31</v>
      </c>
      <c r="H8" s="160"/>
      <c r="I8" s="161"/>
      <c r="J8" s="72"/>
      <c r="K8" s="161" t="s">
        <v>23</v>
      </c>
      <c r="L8" s="161"/>
    </row>
    <row r="9" spans="4:12" ht="15.6" customHeight="1">
      <c r="D9" s="73" t="s">
        <v>34</v>
      </c>
      <c r="F9" s="70"/>
      <c r="G9" s="160" t="s">
        <v>42</v>
      </c>
      <c r="H9" s="160"/>
      <c r="I9" s="161"/>
      <c r="J9" s="72"/>
      <c r="K9" s="161" t="s">
        <v>24</v>
      </c>
      <c r="L9" s="161"/>
    </row>
    <row r="10" spans="4:12" ht="18.600000000000001">
      <c r="D10" s="73" t="s">
        <v>35</v>
      </c>
      <c r="E10" s="74" t="s">
        <v>47</v>
      </c>
      <c r="F10" s="70"/>
      <c r="G10" s="160" t="s">
        <v>43</v>
      </c>
      <c r="H10" s="160"/>
      <c r="I10" s="161"/>
      <c r="J10" s="72"/>
      <c r="K10" s="161" t="s">
        <v>25</v>
      </c>
      <c r="L10" s="161"/>
    </row>
    <row r="11" spans="4:12" ht="15.6">
      <c r="D11" s="73" t="s">
        <v>36</v>
      </c>
      <c r="E11" s="70"/>
      <c r="F11" s="70"/>
      <c r="G11" s="160" t="s">
        <v>44</v>
      </c>
      <c r="H11" s="160"/>
      <c r="I11" s="161"/>
      <c r="J11" s="72"/>
      <c r="K11" s="161" t="s">
        <v>26</v>
      </c>
      <c r="L11" s="161"/>
    </row>
    <row r="12" spans="4:12" ht="16.2" thickBot="1">
      <c r="D12" s="73" t="s">
        <v>37</v>
      </c>
      <c r="E12" s="75" t="s">
        <v>48</v>
      </c>
      <c r="F12" s="70"/>
      <c r="G12" s="160" t="s">
        <v>45</v>
      </c>
      <c r="H12" s="160"/>
      <c r="I12" s="161"/>
      <c r="J12" s="76"/>
      <c r="K12" s="165" t="s">
        <v>27</v>
      </c>
      <c r="L12" s="166"/>
    </row>
    <row r="13" spans="4:12" ht="15.6">
      <c r="D13" s="73" t="s">
        <v>38</v>
      </c>
      <c r="E13" s="38" t="s">
        <v>49</v>
      </c>
      <c r="F13" s="70"/>
      <c r="G13" s="160" t="s">
        <v>46</v>
      </c>
      <c r="H13" s="160"/>
      <c r="I13" s="161"/>
      <c r="J13" s="71"/>
      <c r="K13" s="183" t="s">
        <v>29</v>
      </c>
      <c r="L13" s="179"/>
    </row>
    <row r="14" spans="4:12" ht="15.6">
      <c r="D14" s="73" t="s">
        <v>39</v>
      </c>
      <c r="E14" s="37" t="s">
        <v>50</v>
      </c>
      <c r="F14" s="70"/>
      <c r="G14" s="160" t="s">
        <v>32</v>
      </c>
      <c r="H14" s="160"/>
      <c r="I14" s="161"/>
      <c r="J14" s="72"/>
      <c r="K14" s="180"/>
      <c r="L14" s="180"/>
    </row>
    <row r="15" spans="4:12" ht="16.2" thickBot="1">
      <c r="D15" s="77" t="s">
        <v>40</v>
      </c>
      <c r="E15" s="78" t="s">
        <v>51</v>
      </c>
      <c r="F15" s="39"/>
      <c r="G15" s="165" t="s">
        <v>59</v>
      </c>
      <c r="H15" s="165"/>
      <c r="I15" s="166"/>
      <c r="J15" s="76"/>
      <c r="K15" s="181"/>
      <c r="L15" s="182"/>
    </row>
    <row r="16" spans="4:12" ht="13.8" thickBot="1">
      <c r="D16" s="167" t="s">
        <v>67</v>
      </c>
      <c r="E16" s="168"/>
      <c r="F16" s="168"/>
      <c r="G16" s="168"/>
      <c r="H16" s="168"/>
      <c r="I16" s="169"/>
      <c r="J16" s="184" t="s">
        <v>52</v>
      </c>
      <c r="K16" s="185"/>
      <c r="L16" s="186"/>
    </row>
    <row r="17" spans="4:27">
      <c r="D17" s="71"/>
      <c r="E17" s="79"/>
      <c r="F17" s="79"/>
      <c r="G17" s="170" t="s">
        <v>58</v>
      </c>
      <c r="H17" s="170"/>
      <c r="I17" s="171"/>
      <c r="J17" s="71"/>
      <c r="K17" s="170" t="s">
        <v>57</v>
      </c>
      <c r="L17" s="171"/>
    </row>
    <row r="18" spans="4:27">
      <c r="D18" s="72"/>
      <c r="E18" s="70"/>
      <c r="F18" s="70"/>
      <c r="G18" s="163" t="s">
        <v>62</v>
      </c>
      <c r="H18" s="163"/>
      <c r="I18" s="164"/>
      <c r="J18" s="72"/>
      <c r="K18" s="164" t="s">
        <v>56</v>
      </c>
      <c r="L18" s="164"/>
    </row>
    <row r="19" spans="4:27" ht="13.8">
      <c r="D19" s="73" t="s">
        <v>60</v>
      </c>
      <c r="E19" s="70"/>
      <c r="F19" s="70"/>
      <c r="G19" s="163" t="s">
        <v>63</v>
      </c>
      <c r="H19" s="163"/>
      <c r="I19" s="164"/>
      <c r="J19" s="72"/>
      <c r="K19" s="164" t="s">
        <v>55</v>
      </c>
      <c r="L19" s="164"/>
    </row>
    <row r="20" spans="4:27" ht="15.6">
      <c r="D20" s="80" t="s">
        <v>61</v>
      </c>
      <c r="E20" s="70"/>
      <c r="F20" s="70"/>
      <c r="G20" s="160" t="s">
        <v>64</v>
      </c>
      <c r="H20" s="160"/>
      <c r="I20" s="161"/>
      <c r="J20" s="72"/>
      <c r="K20" s="161" t="s">
        <v>54</v>
      </c>
      <c r="L20" s="161"/>
    </row>
    <row r="21" spans="4:27" ht="16.2" thickBot="1">
      <c r="D21" s="81" t="s">
        <v>66</v>
      </c>
      <c r="E21" s="39"/>
      <c r="F21" s="39"/>
      <c r="G21" s="165" t="s">
        <v>65</v>
      </c>
      <c r="H21" s="165"/>
      <c r="I21" s="166"/>
      <c r="J21" s="76"/>
      <c r="K21" s="165" t="s">
        <v>53</v>
      </c>
      <c r="L21" s="166"/>
    </row>
    <row r="22" spans="4:27" ht="70.8">
      <c r="D22" s="32" t="s">
        <v>68</v>
      </c>
      <c r="E22" s="32" t="s">
        <v>69</v>
      </c>
      <c r="F22" s="33" t="s">
        <v>70</v>
      </c>
      <c r="G22" s="32" t="s">
        <v>71</v>
      </c>
      <c r="H22" s="31" t="s">
        <v>96</v>
      </c>
      <c r="I22" s="32" t="s">
        <v>95</v>
      </c>
      <c r="J22" s="32" t="s">
        <v>72</v>
      </c>
      <c r="K22" s="32" t="s">
        <v>97</v>
      </c>
      <c r="L22" s="32" t="s">
        <v>98</v>
      </c>
      <c r="M22" s="32" t="s">
        <v>73</v>
      </c>
      <c r="N22" s="31" t="s">
        <v>74</v>
      </c>
      <c r="O22" s="203" t="s">
        <v>139</v>
      </c>
      <c r="Q22"/>
      <c r="R22" s="8" t="s">
        <v>128</v>
      </c>
      <c r="S22" s="110" t="s">
        <v>68</v>
      </c>
      <c r="T22" s="110" t="s">
        <v>69</v>
      </c>
      <c r="U22" s="8" t="s">
        <v>129</v>
      </c>
      <c r="V22" s="32" t="s">
        <v>131</v>
      </c>
      <c r="W22" s="32" t="s">
        <v>130</v>
      </c>
      <c r="X22" s="32" t="s">
        <v>98</v>
      </c>
      <c r="Y22" s="91" t="s">
        <v>81</v>
      </c>
      <c r="Z22" s="91" t="s">
        <v>79</v>
      </c>
      <c r="AA22" s="91" t="s">
        <v>82</v>
      </c>
    </row>
    <row r="23" spans="4:27">
      <c r="E23" s="49">
        <v>0</v>
      </c>
      <c r="G23" s="49">
        <v>0</v>
      </c>
      <c r="H23" s="49">
        <f>F5</f>
        <v>0</v>
      </c>
      <c r="I23" s="49">
        <f>H23-F$12</f>
        <v>0</v>
      </c>
      <c r="J23" s="49" t="e">
        <f>I23/F$12</f>
        <v>#DIV/0!</v>
      </c>
      <c r="M23" s="49" t="e">
        <f>(0.848*(H23/2)^2)/K23</f>
        <v>#DIV/0!</v>
      </c>
      <c r="N23" s="49" t="e">
        <f>(F23/F$12)*100</f>
        <v>#DIV/0!</v>
      </c>
      <c r="R23" s="162" t="s">
        <v>100</v>
      </c>
      <c r="S23" s="162"/>
      <c r="T23" s="162"/>
      <c r="U23" s="162"/>
    </row>
    <row r="24" spans="4:27">
      <c r="D24" s="49">
        <f>S24</f>
        <v>0.5</v>
      </c>
      <c r="E24" s="49">
        <f ca="1">T24</f>
        <v>26.9831</v>
      </c>
      <c r="F24" s="49">
        <f ca="1">F5-E24</f>
        <v>-26.9831</v>
      </c>
      <c r="G24" s="49" t="e">
        <f t="shared" ref="G24:G31" ca="1" si="0">F24/F$12</f>
        <v>#DIV/0!</v>
      </c>
      <c r="H24" s="49">
        <f ca="1">H23-F24</f>
        <v>26.9831</v>
      </c>
      <c r="I24" s="49">
        <f t="shared" ref="I24:I31" ca="1" si="1">H24-F$12</f>
        <v>26.9831</v>
      </c>
      <c r="J24" s="49" t="e">
        <f t="shared" ref="J24:J31" ca="1" si="2">I24/F$12</f>
        <v>#DIV/0!</v>
      </c>
      <c r="K24" s="40">
        <f ca="1">W24^2</f>
        <v>44.585341380123992</v>
      </c>
      <c r="L24" s="40" t="e">
        <f>(chart1!#REF!)^2</f>
        <v>#REF!</v>
      </c>
      <c r="M24" s="49">
        <f t="shared" ref="M24:M31" ca="1" si="3">(0.848*(H24/2)^2)/K24</f>
        <v>3.4620030837788045</v>
      </c>
      <c r="N24" s="49" t="e">
        <f t="shared" ref="N24:N31" ca="1" si="4">(F24/F$12)*100</f>
        <v>#DIV/0!</v>
      </c>
      <c r="O24" s="49" t="e">
        <f ca="1">(J24-J23)/(D24-D23)</f>
        <v>#DIV/0!</v>
      </c>
      <c r="P24" s="49">
        <v>0.25</v>
      </c>
      <c r="R24" s="62">
        <v>1</v>
      </c>
      <c r="S24" s="62">
        <f>data!C7</f>
        <v>0.5</v>
      </c>
      <c r="T24" s="62">
        <f ca="1">MIN(INDIRECT("data!"&amp;U24&amp;"$10:$"&amp;U24&amp;"$28"))</f>
        <v>26.9831</v>
      </c>
      <c r="U24" s="62" t="s">
        <v>105</v>
      </c>
      <c r="V24" s="40">
        <f ca="1">chart1!E$16</f>
        <v>9.3702628857427044</v>
      </c>
      <c r="W24" s="40">
        <f ca="1">chart1!A10</f>
        <v>6.6772255750516614</v>
      </c>
      <c r="X24" s="40">
        <f ca="1">chart1!E$20</f>
        <v>3.0255184063280467</v>
      </c>
      <c r="Y24" s="49">
        <f ca="1">chart1!A$17</f>
        <v>26.984861322373273</v>
      </c>
      <c r="Z24" s="40">
        <f ca="1">chart1!B10</f>
        <v>26.986300000000004</v>
      </c>
      <c r="AA24" s="49">
        <f ca="1">chart1!A$21</f>
        <v>26.99205471050692</v>
      </c>
    </row>
    <row r="25" spans="4:27">
      <c r="D25" s="135">
        <f t="shared" ref="D25:E38" si="5">S25</f>
        <v>1</v>
      </c>
      <c r="E25" s="135">
        <f ca="1">T25</f>
        <v>26.974499999999999</v>
      </c>
      <c r="F25" s="40">
        <f ca="1">E24-E25</f>
        <v>8.6000000000012733E-3</v>
      </c>
      <c r="G25" s="49" t="e">
        <f t="shared" ca="1" si="0"/>
        <v>#DIV/0!</v>
      </c>
      <c r="H25" s="49">
        <f t="shared" ref="H25:H31" ca="1" si="6">H24-F25</f>
        <v>26.974499999999999</v>
      </c>
      <c r="I25" s="49">
        <f t="shared" ca="1" si="1"/>
        <v>26.974499999999999</v>
      </c>
      <c r="J25" s="49" t="e">
        <f t="shared" ca="1" si="2"/>
        <v>#DIV/0!</v>
      </c>
      <c r="K25" s="136">
        <f t="shared" ref="K25:K38" ca="1" si="7">W25^2</f>
        <v>25.735160030897802</v>
      </c>
      <c r="L25" s="49" t="e">
        <f>((chart2!#REF!))^2</f>
        <v>#REF!</v>
      </c>
      <c r="M25" s="49">
        <f t="shared" ca="1" si="3"/>
        <v>5.9939869683265607</v>
      </c>
      <c r="N25" s="49" t="e">
        <f t="shared" ca="1" si="4"/>
        <v>#DIV/0!</v>
      </c>
      <c r="O25" s="135" t="e">
        <f t="shared" ref="O25:O35" ca="1" si="8">(J25-J24)/(D25-D24)</f>
        <v>#DIV/0!</v>
      </c>
      <c r="P25" s="49">
        <v>0.5</v>
      </c>
      <c r="R25" s="62">
        <v>2</v>
      </c>
      <c r="S25" s="62">
        <f>data!I7</f>
        <v>1</v>
      </c>
      <c r="T25" s="62">
        <f ca="1">MIN(INDIRECT("data!"&amp;U25&amp;"$10:$"&amp;U25&amp;"$28"))</f>
        <v>26.974499999999999</v>
      </c>
      <c r="U25" s="62" t="s">
        <v>107</v>
      </c>
      <c r="V25" s="40">
        <f ca="1">chart2!E$16</f>
        <v>7.5925710004885332</v>
      </c>
      <c r="W25" s="136">
        <f ca="1">chart2!A10</f>
        <v>5.0729833462074172</v>
      </c>
      <c r="X25" s="40">
        <f ca="1">chart2!E$20</f>
        <v>3.0007627335508005</v>
      </c>
      <c r="Y25" s="109">
        <f ca="1">chart2!A$17</f>
        <v>26.975347888443913</v>
      </c>
      <c r="Z25" s="40">
        <f ca="1">chart2!B10</f>
        <v>26.976100000000002</v>
      </c>
      <c r="AA25" s="109">
        <f ca="1">chart2!A$21</f>
        <v>26.979108446224362</v>
      </c>
    </row>
    <row r="26" spans="4:27">
      <c r="D26" s="135">
        <f t="shared" si="5"/>
        <v>2</v>
      </c>
      <c r="E26" s="135">
        <f ca="1">T26</f>
        <v>26.9696</v>
      </c>
      <c r="F26" s="40">
        <f t="shared" ref="F26:F31" ca="1" si="9">E25-E26</f>
        <v>4.8999999999992383E-3</v>
      </c>
      <c r="G26" s="49" t="e">
        <f t="shared" ca="1" si="0"/>
        <v>#DIV/0!</v>
      </c>
      <c r="H26" s="49">
        <f t="shared" ca="1" si="6"/>
        <v>26.9696</v>
      </c>
      <c r="I26" s="49">
        <f t="shared" ca="1" si="1"/>
        <v>26.9696</v>
      </c>
      <c r="J26" s="49" t="e">
        <f t="shared" ca="1" si="2"/>
        <v>#DIV/0!</v>
      </c>
      <c r="K26" s="136">
        <f t="shared" ca="1" si="7"/>
        <v>80.030320061795621</v>
      </c>
      <c r="L26" s="49">
        <f>((chart3!G29))^2</f>
        <v>0</v>
      </c>
      <c r="M26" s="49">
        <f t="shared" ca="1" si="3"/>
        <v>1.9267719609624694</v>
      </c>
      <c r="N26" s="49" t="e">
        <f t="shared" ca="1" si="4"/>
        <v>#DIV/0!</v>
      </c>
      <c r="O26" s="135" t="e">
        <f t="shared" ca="1" si="8"/>
        <v>#DIV/0!</v>
      </c>
      <c r="P26" s="49">
        <v>1</v>
      </c>
      <c r="R26" s="62">
        <v>3</v>
      </c>
      <c r="S26" s="62">
        <f>data!O7</f>
        <v>2</v>
      </c>
      <c r="T26" s="62">
        <f t="shared" ref="T26:T33" ca="1" si="10">MIN(INDIRECT("data!"&amp;U26&amp;"$10:$"&amp;U26&amp;"$28"))</f>
        <v>26.9696</v>
      </c>
      <c r="U26" s="62" t="s">
        <v>109</v>
      </c>
      <c r="V26" s="40">
        <f ca="1">chart3!E$16</f>
        <v>11.022327062266413</v>
      </c>
      <c r="W26" s="136">
        <f ca="1">chart3!A10</f>
        <v>8.9459666924148351</v>
      </c>
      <c r="X26" s="40">
        <f ca="1">chart3!E$20</f>
        <v>4.6260732528135122</v>
      </c>
      <c r="Y26" s="109">
        <f ca="1">chart3!A$17</f>
        <v>26.970803086222084</v>
      </c>
      <c r="Z26" s="136">
        <f ca="1">chart3!B10</f>
        <v>26.971200000000003</v>
      </c>
      <c r="AA26" s="109">
        <f ca="1">chart3!A$21</f>
        <v>26.972787655111681</v>
      </c>
    </row>
    <row r="27" spans="4:27">
      <c r="D27" s="135">
        <f t="shared" si="5"/>
        <v>4</v>
      </c>
      <c r="E27" s="135">
        <f ca="1">T27</f>
        <v>26.950399999999998</v>
      </c>
      <c r="F27" s="40">
        <f t="shared" ca="1" si="9"/>
        <v>1.9200000000001438E-2</v>
      </c>
      <c r="G27" s="49" t="e">
        <f t="shared" ca="1" si="0"/>
        <v>#DIV/0!</v>
      </c>
      <c r="H27" s="49">
        <f t="shared" ca="1" si="6"/>
        <v>26.950399999999998</v>
      </c>
      <c r="I27" s="49">
        <f t="shared" ca="1" si="1"/>
        <v>26.950399999999998</v>
      </c>
      <c r="J27" s="49" t="e">
        <f t="shared" ca="1" si="2"/>
        <v>#DIV/0!</v>
      </c>
      <c r="K27" s="136">
        <f t="shared" ca="1" si="7"/>
        <v>16.228225099390862</v>
      </c>
      <c r="L27" s="49">
        <f>((chart4!G29))^2</f>
        <v>0</v>
      </c>
      <c r="M27" s="49">
        <f t="shared" ca="1" si="3"/>
        <v>9.4884498958360997</v>
      </c>
      <c r="N27" s="49" t="e">
        <f t="shared" ca="1" si="4"/>
        <v>#DIV/0!</v>
      </c>
      <c r="O27" s="135" t="e">
        <f t="shared" ca="1" si="8"/>
        <v>#DIV/0!</v>
      </c>
      <c r="P27" s="49">
        <v>2</v>
      </c>
      <c r="R27" s="62">
        <v>4</v>
      </c>
      <c r="S27" s="62">
        <f>data!U7</f>
        <v>4</v>
      </c>
      <c r="T27" s="62">
        <f t="shared" ca="1" si="10"/>
        <v>26.950399999999998</v>
      </c>
      <c r="U27" s="62" t="s">
        <v>111</v>
      </c>
      <c r="V27" s="40">
        <f ca="1">chart4!E$16</f>
        <v>7.3750588286202401</v>
      </c>
      <c r="W27" s="136">
        <f ca="1">chart4!A10</f>
        <v>4.0284271247461909</v>
      </c>
      <c r="X27" s="40">
        <f ca="1">chart4!E$20</f>
        <v>1.810473402799289</v>
      </c>
      <c r="Y27" s="109">
        <f ca="1">chart4!A$17</f>
        <v>26.952888963269906</v>
      </c>
      <c r="Z27" s="40">
        <f ca="1">chart4!B$10</f>
        <v>26.954500000000003</v>
      </c>
      <c r="AA27" s="109">
        <f ca="1">chart4!A$21</f>
        <v>26.960944146920383</v>
      </c>
    </row>
    <row r="28" spans="4:27">
      <c r="D28" s="135">
        <f t="shared" si="5"/>
        <v>1</v>
      </c>
      <c r="E28" s="135">
        <f t="shared" ref="E28:E32" ca="1" si="11">T28</f>
        <v>26.955760000000001</v>
      </c>
      <c r="F28" s="40">
        <f t="shared" ca="1" si="9"/>
        <v>-5.36000000000314E-3</v>
      </c>
      <c r="G28" s="49" t="e">
        <f t="shared" ca="1" si="0"/>
        <v>#DIV/0!</v>
      </c>
      <c r="H28" s="49">
        <f t="shared" ca="1" si="6"/>
        <v>26.955760000000001</v>
      </c>
      <c r="I28" s="49">
        <f t="shared" ca="1" si="1"/>
        <v>26.955760000000001</v>
      </c>
      <c r="J28" s="49" t="e">
        <f t="shared" ca="1" si="2"/>
        <v>#DIV/0!</v>
      </c>
      <c r="K28" s="136">
        <f t="shared" ca="1" si="7"/>
        <v>5.2899999999999991</v>
      </c>
      <c r="L28" s="49">
        <f>((chart5!G29))^2</f>
        <v>0</v>
      </c>
      <c r="M28" s="49">
        <f t="shared" ca="1" si="3"/>
        <v>29.119462268743142</v>
      </c>
      <c r="N28" s="49" t="e">
        <f t="shared" ca="1" si="4"/>
        <v>#DIV/0!</v>
      </c>
      <c r="O28" s="135" t="e">
        <f t="shared" ca="1" si="8"/>
        <v>#DIV/0!</v>
      </c>
      <c r="P28" s="49">
        <v>4</v>
      </c>
      <c r="R28" s="62">
        <v>5</v>
      </c>
      <c r="S28" s="62">
        <f>data!AA7</f>
        <v>1</v>
      </c>
      <c r="T28" s="62">
        <f ca="1">MIN(INDIRECT("data!"&amp;U28&amp;"$10:$"&amp;U28&amp;"$28"))</f>
        <v>26.955760000000001</v>
      </c>
      <c r="U28" s="62" t="s">
        <v>113</v>
      </c>
      <c r="V28" s="40">
        <f ca="1">chart5!E$16</f>
        <v>4.7551857165526599</v>
      </c>
      <c r="W28" s="136">
        <f ca="1">chart5!A10</f>
        <v>2.2999999999999998</v>
      </c>
      <c r="X28" s="40">
        <f ca="1">chart5!E$20</f>
        <v>0.94151691964361817</v>
      </c>
      <c r="Y28" s="109">
        <f ca="1">chart5!A$17</f>
        <v>26.955773502447055</v>
      </c>
      <c r="Z28" s="136">
        <f ca="1">chart5!B10</f>
        <v>26.95579</v>
      </c>
      <c r="AA28" s="109">
        <f ca="1">chart5!A$21</f>
        <v>26.955855990211788</v>
      </c>
    </row>
    <row r="29" spans="4:27">
      <c r="D29" s="135">
        <f t="shared" si="5"/>
        <v>2</v>
      </c>
      <c r="E29" s="135">
        <f t="shared" ca="1" si="11"/>
        <v>26.955349999999999</v>
      </c>
      <c r="F29" s="40">
        <f t="shared" ca="1" si="9"/>
        <v>4.100000000022419E-4</v>
      </c>
      <c r="G29" s="49" t="e">
        <f t="shared" ca="1" si="0"/>
        <v>#DIV/0!</v>
      </c>
      <c r="H29" s="49">
        <f t="shared" ca="1" si="6"/>
        <v>26.955349999999999</v>
      </c>
      <c r="I29" s="49">
        <f t="shared" ca="1" si="1"/>
        <v>26.955349999999999</v>
      </c>
      <c r="J29" s="49" t="e">
        <f t="shared" ca="1" si="2"/>
        <v>#DIV/0!</v>
      </c>
      <c r="K29" s="136">
        <f t="shared" ca="1" si="7"/>
        <v>9</v>
      </c>
      <c r="L29" s="49">
        <f>((chart6!G29))^2</f>
        <v>0</v>
      </c>
      <c r="M29" s="49">
        <f t="shared" ca="1" si="3"/>
        <v>17.115252160885554</v>
      </c>
      <c r="N29" s="49" t="e">
        <f t="shared" ca="1" si="4"/>
        <v>#DIV/0!</v>
      </c>
      <c r="O29" s="135" t="e">
        <f t="shared" ca="1" si="8"/>
        <v>#DIV/0!</v>
      </c>
      <c r="P29" s="49">
        <v>8</v>
      </c>
      <c r="R29" s="62">
        <v>6</v>
      </c>
      <c r="S29" s="62">
        <f>data!AG7</f>
        <v>2</v>
      </c>
      <c r="T29" s="62">
        <f t="shared" ca="1" si="10"/>
        <v>26.955349999999999</v>
      </c>
      <c r="U29" s="62" t="s">
        <v>115</v>
      </c>
      <c r="V29" s="40" t="e">
        <f ca="1">chart6!E$16</f>
        <v>#N/A</v>
      </c>
      <c r="W29" s="136">
        <f ca="1">chart6!A10</f>
        <v>3</v>
      </c>
      <c r="X29" s="40">
        <f ca="1">chart6!E$20</f>
        <v>0.83984555746428668</v>
      </c>
      <c r="Y29" s="109">
        <f ca="1">chart6!A$17</f>
        <v>26.955330430974278</v>
      </c>
      <c r="Z29" s="136">
        <f ca="1">chart6!B10</f>
        <v>26.955369999999998</v>
      </c>
      <c r="AA29" s="109">
        <f ca="1">chart6!A$21</f>
        <v>26.955528276102886</v>
      </c>
    </row>
    <row r="30" spans="4:27">
      <c r="D30" s="135">
        <f t="shared" si="5"/>
        <v>4</v>
      </c>
      <c r="E30" s="135">
        <f t="shared" ca="1" si="11"/>
        <v>26.95</v>
      </c>
      <c r="F30" s="40">
        <f t="shared" ca="1" si="9"/>
        <v>5.3499999999999659E-3</v>
      </c>
      <c r="G30" s="49" t="e">
        <f t="shared" ca="1" si="0"/>
        <v>#DIV/0!</v>
      </c>
      <c r="H30" s="49">
        <f t="shared" ca="1" si="6"/>
        <v>26.95</v>
      </c>
      <c r="I30" s="49">
        <f t="shared" ca="1" si="1"/>
        <v>26.95</v>
      </c>
      <c r="J30" s="49" t="e">
        <f ca="1">I30/F$12</f>
        <v>#DIV/0!</v>
      </c>
      <c r="K30" s="136">
        <f t="shared" ca="1" si="7"/>
        <v>11.078427124746192</v>
      </c>
      <c r="L30" s="49">
        <f>((chart7!G29))^2</f>
        <v>0</v>
      </c>
      <c r="M30" s="49">
        <f t="shared" ca="1" si="3"/>
        <v>13.898735647776137</v>
      </c>
      <c r="N30" s="49" t="e">
        <f t="shared" ca="1" si="4"/>
        <v>#DIV/0!</v>
      </c>
      <c r="O30" s="135" t="e">
        <f t="shared" ca="1" si="8"/>
        <v>#DIV/0!</v>
      </c>
      <c r="P30" s="49">
        <v>16</v>
      </c>
      <c r="R30" s="62">
        <v>7</v>
      </c>
      <c r="S30" s="62">
        <f>data!AM7</f>
        <v>4</v>
      </c>
      <c r="T30" s="62">
        <f t="shared" ca="1" si="10"/>
        <v>26.95</v>
      </c>
      <c r="U30" s="62" t="s">
        <v>117</v>
      </c>
      <c r="V30" s="40">
        <f ca="1">chart7!E$16</f>
        <v>6.466991568217054</v>
      </c>
      <c r="W30" s="136">
        <f ca="1">chart7!A10</f>
        <v>3.3284271247461903</v>
      </c>
      <c r="X30" s="40">
        <f ca="1">chart7!E$20</f>
        <v>1.4498196002496115</v>
      </c>
      <c r="Y30" s="109">
        <f ca="1">chart7!A$17</f>
        <v>26.951149656661741</v>
      </c>
      <c r="Z30" s="136">
        <f ca="1">chart7!B10</f>
        <v>26.951599999999999</v>
      </c>
      <c r="AA30" s="109">
        <f ca="1">chart7!A$21</f>
        <v>26.953401373353028</v>
      </c>
    </row>
    <row r="31" spans="4:27">
      <c r="D31" s="135">
        <f t="shared" si="5"/>
        <v>8</v>
      </c>
      <c r="E31" s="135">
        <f t="shared" ca="1" si="11"/>
        <v>26.934799999999999</v>
      </c>
      <c r="F31" s="40">
        <f t="shared" ca="1" si="9"/>
        <v>1.5200000000000102E-2</v>
      </c>
      <c r="G31" s="49" t="e">
        <f t="shared" ca="1" si="0"/>
        <v>#DIV/0!</v>
      </c>
      <c r="H31" s="49">
        <f t="shared" ca="1" si="6"/>
        <v>26.934799999999999</v>
      </c>
      <c r="I31" s="49">
        <f t="shared" ca="1" si="1"/>
        <v>26.934799999999999</v>
      </c>
      <c r="J31" s="49" t="e">
        <f t="shared" ca="1" si="2"/>
        <v>#DIV/0!</v>
      </c>
      <c r="K31" s="136">
        <f t="shared" ca="1" si="7"/>
        <v>16.228225099390862</v>
      </c>
      <c r="L31" s="49">
        <f>((chart8!G29))^2</f>
        <v>0</v>
      </c>
      <c r="M31" s="49">
        <f t="shared" ca="1" si="3"/>
        <v>9.4774684648817864</v>
      </c>
      <c r="N31" s="49" t="e">
        <f t="shared" ca="1" si="4"/>
        <v>#DIV/0!</v>
      </c>
      <c r="O31" s="135" t="e">
        <f t="shared" ca="1" si="8"/>
        <v>#DIV/0!</v>
      </c>
      <c r="P31" s="49">
        <v>32</v>
      </c>
      <c r="R31" s="62">
        <v>8</v>
      </c>
      <c r="S31" s="62">
        <f>data!AS7</f>
        <v>8</v>
      </c>
      <c r="T31" s="62">
        <f t="shared" ca="1" si="10"/>
        <v>26.934799999999999</v>
      </c>
      <c r="U31" s="62" t="s">
        <v>119</v>
      </c>
      <c r="V31" s="40">
        <f ca="1">chart8!E$16</f>
        <v>6.7298658709623851</v>
      </c>
      <c r="W31" s="136">
        <f ca="1">chart8!A10</f>
        <v>4.0284271247461909</v>
      </c>
      <c r="X31" s="40">
        <f ca="1">chart8!E$20</f>
        <v>1.6418828557816596</v>
      </c>
      <c r="Y31" s="109">
        <f ca="1">chart8!A$17</f>
        <v>26.936367253305026</v>
      </c>
      <c r="Z31" s="136">
        <f ca="1">chart8!B10</f>
        <v>26.937720000000002</v>
      </c>
      <c r="AA31" s="109">
        <f ca="1">chart8!A$21</f>
        <v>26.943130986779906</v>
      </c>
    </row>
    <row r="32" spans="4:27">
      <c r="D32" s="135">
        <f t="shared" si="5"/>
        <v>16</v>
      </c>
      <c r="E32" s="135">
        <f t="shared" ca="1" si="11"/>
        <v>26.9133</v>
      </c>
      <c r="K32" s="136">
        <f t="shared" ca="1" si="7"/>
        <v>10.240000000000002</v>
      </c>
      <c r="L32" s="49">
        <f>((chart9!G29))^2</f>
        <v>0</v>
      </c>
      <c r="O32" s="135" t="e">
        <f t="shared" ca="1" si="8"/>
        <v>#DIV/0!</v>
      </c>
      <c r="R32" s="62">
        <v>9</v>
      </c>
      <c r="S32" s="62">
        <f>data!AY7</f>
        <v>16</v>
      </c>
      <c r="T32" s="62">
        <f t="shared" ca="1" si="10"/>
        <v>26.9133</v>
      </c>
      <c r="U32" s="62" t="s">
        <v>121</v>
      </c>
      <c r="V32" s="40">
        <f ca="1">chart9!E$16</f>
        <v>5.1456767226809461</v>
      </c>
      <c r="W32" s="136">
        <f ca="1">chart9!A10</f>
        <v>3.2</v>
      </c>
      <c r="X32" s="40">
        <f ca="1">chart9!E$20</f>
        <v>1.3322941431888466</v>
      </c>
      <c r="Y32" s="109">
        <f ca="1">chart9!A$17</f>
        <v>26.915279004593351</v>
      </c>
      <c r="Z32" s="136">
        <f ca="1">chart9!B10</f>
        <v>26.917250000000003</v>
      </c>
      <c r="AA32" s="109">
        <f ca="1">chart9!A$21</f>
        <v>26.925133981626612</v>
      </c>
    </row>
    <row r="33" spans="4:27">
      <c r="D33" s="135">
        <f t="shared" si="5"/>
        <v>32</v>
      </c>
      <c r="E33" s="135">
        <f ca="1">T33</f>
        <v>26.893699999999999</v>
      </c>
      <c r="K33" s="136">
        <f t="shared" ca="1" si="7"/>
        <v>10.240000000000002</v>
      </c>
      <c r="L33" s="49">
        <f>((chart10!G29))^2</f>
        <v>0</v>
      </c>
      <c r="O33" s="135">
        <f t="shared" si="8"/>
        <v>0</v>
      </c>
      <c r="R33" s="62">
        <v>10</v>
      </c>
      <c r="S33" s="62">
        <f>data!BE7</f>
        <v>32</v>
      </c>
      <c r="T33" s="62">
        <f t="shared" ca="1" si="10"/>
        <v>26.893699999999999</v>
      </c>
      <c r="U33" s="62" t="s">
        <v>123</v>
      </c>
      <c r="V33" s="40">
        <f ca="1">chart10!E$16</f>
        <v>4.8752126800100086</v>
      </c>
      <c r="W33" s="136">
        <f ca="1">chart10!A10</f>
        <v>3.2</v>
      </c>
      <c r="X33" s="40">
        <f ca="1">chart10!E$20</f>
        <v>1.3564503321049415</v>
      </c>
      <c r="Y33" s="109">
        <f ca="1">chart10!A$17</f>
        <v>26.896487842016306</v>
      </c>
      <c r="Z33" s="136">
        <f ca="1">chart10!B10</f>
        <v>26.898200000000003</v>
      </c>
      <c r="AA33" s="109">
        <f ca="1">chart10!A$21</f>
        <v>26.905048631934797</v>
      </c>
    </row>
    <row r="34" spans="4:27">
      <c r="D34" s="135">
        <f t="shared" si="5"/>
        <v>0</v>
      </c>
      <c r="E34" s="135">
        <f ca="1">T34</f>
        <v>26.893699999999999</v>
      </c>
      <c r="K34" s="136">
        <f t="shared" ca="1" si="7"/>
        <v>2.8900000000000006</v>
      </c>
      <c r="L34" s="49" t="e">
        <f>((chart11!#REF!))^2</f>
        <v>#REF!</v>
      </c>
      <c r="O34" s="135">
        <f t="shared" si="8"/>
        <v>0</v>
      </c>
      <c r="R34" s="62">
        <v>11</v>
      </c>
      <c r="S34" s="62">
        <f>data!BK7</f>
        <v>0</v>
      </c>
      <c r="T34" s="62">
        <f ca="1">MIN(INDIRECT("data!"&amp;U34&amp;"$10:$"&amp;U34&amp;"$28"))</f>
        <v>26.893699999999999</v>
      </c>
      <c r="U34" s="62" t="s">
        <v>125</v>
      </c>
      <c r="V34" s="40">
        <f ca="1">chart11!E$16</f>
        <v>1.6510243579823509</v>
      </c>
      <c r="W34" s="136">
        <f ca="1">chart11!A10</f>
        <v>1.7000000000000002</v>
      </c>
      <c r="X34" s="40">
        <f ca="1">chart11!E$20</f>
        <v>0.21298366908490607</v>
      </c>
      <c r="Y34" s="109">
        <f ca="1">chart11!A$17</f>
        <v>26.90348721605487</v>
      </c>
      <c r="Z34" s="136">
        <f ca="1">chart11!B10</f>
        <v>26.908100000000001</v>
      </c>
      <c r="AA34" s="109">
        <f ca="1">chart11!A$21</f>
        <v>26.926551135780528</v>
      </c>
    </row>
    <row r="35" spans="4:27">
      <c r="D35" s="135">
        <f t="shared" si="5"/>
        <v>0</v>
      </c>
      <c r="E35" s="135"/>
      <c r="K35" s="136">
        <f t="shared" si="7"/>
        <v>0</v>
      </c>
      <c r="L35" s="49">
        <f>((chart12!G29))^2</f>
        <v>10.4329</v>
      </c>
      <c r="O35" s="135" t="e">
        <f t="shared" si="8"/>
        <v>#DIV/0!</v>
      </c>
      <c r="R35" s="162" t="s">
        <v>101</v>
      </c>
      <c r="S35" s="162"/>
      <c r="T35" s="162"/>
      <c r="U35" s="162"/>
      <c r="W35" s="136"/>
    </row>
    <row r="36" spans="4:27">
      <c r="D36" s="135">
        <f t="shared" si="5"/>
        <v>2</v>
      </c>
      <c r="E36" s="135">
        <f ca="1">T36</f>
        <v>26.950749999999999</v>
      </c>
      <c r="K36" s="136">
        <f t="shared" si="7"/>
        <v>0</v>
      </c>
      <c r="L36" s="49">
        <f>((chart13!G29))^2</f>
        <v>10.4329</v>
      </c>
      <c r="R36" s="62">
        <v>12</v>
      </c>
      <c r="S36" s="62">
        <f>data!C33</f>
        <v>2</v>
      </c>
      <c r="T36" s="62">
        <f ca="1">MAX(INDIRECT("data!"&amp;U36&amp;"$36:$"&amp;U36&amp;"$54"))</f>
        <v>26.950749999999999</v>
      </c>
      <c r="U36" s="62" t="s">
        <v>105</v>
      </c>
      <c r="W36" s="136"/>
    </row>
    <row r="37" spans="4:27">
      <c r="D37" s="135">
        <f t="shared" si="5"/>
        <v>1</v>
      </c>
      <c r="E37" s="135">
        <f t="shared" ca="1" si="5"/>
        <v>26.952950000000001</v>
      </c>
      <c r="K37" s="136">
        <f t="shared" si="7"/>
        <v>0</v>
      </c>
      <c r="L37" s="49">
        <f>((chart14!G29))^2</f>
        <v>10.4329</v>
      </c>
      <c r="R37" s="62">
        <v>13</v>
      </c>
      <c r="S37" s="62">
        <f>data!I33</f>
        <v>1</v>
      </c>
      <c r="T37" s="62">
        <f t="shared" ref="T37:T40" ca="1" si="12">MAX(INDIRECT("data!"&amp;U37&amp;"$36:$"&amp;U37&amp;"$54"))</f>
        <v>26.952950000000001</v>
      </c>
      <c r="U37" s="62" t="s">
        <v>107</v>
      </c>
      <c r="W37" s="136"/>
    </row>
    <row r="38" spans="4:27">
      <c r="D38" s="135">
        <f t="shared" si="5"/>
        <v>0.5</v>
      </c>
      <c r="E38" s="135">
        <f t="shared" ca="1" si="5"/>
        <v>26.955950000000001</v>
      </c>
      <c r="K38" s="136">
        <f t="shared" si="7"/>
        <v>0</v>
      </c>
      <c r="L38" s="49">
        <f>((chart15!G29))^2</f>
        <v>10.4329</v>
      </c>
      <c r="R38" s="62">
        <v>14</v>
      </c>
      <c r="S38" s="62">
        <f>data!O33</f>
        <v>0.5</v>
      </c>
      <c r="T38" s="62">
        <f t="shared" ca="1" si="12"/>
        <v>26.955950000000001</v>
      </c>
      <c r="U38" s="62" t="s">
        <v>109</v>
      </c>
      <c r="W38" s="136"/>
    </row>
    <row r="39" spans="4:27">
      <c r="R39" s="62">
        <v>15</v>
      </c>
      <c r="S39" s="62">
        <f>data!U33</f>
        <v>0</v>
      </c>
      <c r="T39" s="62">
        <f t="shared" ca="1" si="12"/>
        <v>26.955950000000001</v>
      </c>
      <c r="U39" s="62" t="s">
        <v>111</v>
      </c>
      <c r="W39" s="136"/>
    </row>
    <row r="40" spans="4:27">
      <c r="R40" s="62">
        <v>16</v>
      </c>
      <c r="S40" s="62">
        <f>data!AA33</f>
        <v>0</v>
      </c>
      <c r="T40" s="62">
        <f t="shared" ca="1" si="12"/>
        <v>27</v>
      </c>
      <c r="U40" s="62" t="s">
        <v>113</v>
      </c>
      <c r="W40" s="136"/>
    </row>
  </sheetData>
  <mergeCells count="38">
    <mergeCell ref="K7:L7"/>
    <mergeCell ref="K18:L18"/>
    <mergeCell ref="K19:L19"/>
    <mergeCell ref="K20:L20"/>
    <mergeCell ref="K21:L21"/>
    <mergeCell ref="K8:L8"/>
    <mergeCell ref="K9:L9"/>
    <mergeCell ref="K10:L10"/>
    <mergeCell ref="K11:L11"/>
    <mergeCell ref="K12:L12"/>
    <mergeCell ref="K14:L14"/>
    <mergeCell ref="K15:L15"/>
    <mergeCell ref="K13:L13"/>
    <mergeCell ref="J16:L16"/>
    <mergeCell ref="K17:L17"/>
    <mergeCell ref="K2:L2"/>
    <mergeCell ref="K3:L3"/>
    <mergeCell ref="K4:L4"/>
    <mergeCell ref="K5:L5"/>
    <mergeCell ref="J6:L6"/>
    <mergeCell ref="D6:I6"/>
    <mergeCell ref="G8:I8"/>
    <mergeCell ref="G7:I7"/>
    <mergeCell ref="G9:I9"/>
    <mergeCell ref="G10:I10"/>
    <mergeCell ref="G11:I11"/>
    <mergeCell ref="G12:I12"/>
    <mergeCell ref="R23:U23"/>
    <mergeCell ref="R35:U35"/>
    <mergeCell ref="G20:I20"/>
    <mergeCell ref="G19:I19"/>
    <mergeCell ref="G18:I18"/>
    <mergeCell ref="G13:I13"/>
    <mergeCell ref="G21:I21"/>
    <mergeCell ref="D16:I16"/>
    <mergeCell ref="G17:I17"/>
    <mergeCell ref="G15:I15"/>
    <mergeCell ref="G14:I1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62"/>
  <sheetViews>
    <sheetView workbookViewId="0">
      <selection activeCell="A21" sqref="A21"/>
    </sheetView>
  </sheetViews>
  <sheetFormatPr defaultRowHeight="13.2"/>
  <cols>
    <col min="1" max="4" width="8.88671875" style="34"/>
    <col min="5" max="5" width="12.21875" style="34" customWidth="1"/>
    <col min="6" max="22" width="8.88671875" style="34"/>
    <col min="23" max="28" width="8.88671875" style="117"/>
    <col min="29" max="29" width="19.88671875" style="117" customWidth="1"/>
    <col min="30" max="31" width="8.88671875" style="117" customWidth="1"/>
    <col min="32" max="16384" width="8.88671875" style="34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 s="115"/>
      <c r="H1" s="122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 s="115"/>
      <c r="H2" s="122"/>
      <c r="W2" s="117">
        <v>0</v>
      </c>
      <c r="X2" s="117">
        <f>D$4*W2+C$4</f>
        <v>26.999248098640567</v>
      </c>
      <c r="Y2" s="193">
        <f ca="1">SLOPE(X2:X3,W2:W3)</f>
        <v>-2.1631569629948482E-3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 s="115"/>
      <c r="H3" s="122"/>
      <c r="W3" s="117">
        <f ca="1">INDIRECT("data!"&amp;A62&amp;A4)</f>
        <v>5.4772255750516612</v>
      </c>
      <c r="X3" s="98">
        <f ca="1">INDIRECT("data!"&amp;$B$62&amp;A4)</f>
        <v>26.987400000000001</v>
      </c>
      <c r="Y3" s="193"/>
      <c r="Z3" s="117">
        <v>0</v>
      </c>
      <c r="AA3" s="117">
        <v>0</v>
      </c>
      <c r="AB3" s="98">
        <f t="shared" ref="AB3:AB43" ca="1" si="0">Y$2*Z3+C$4</f>
        <v>26.999248098640567</v>
      </c>
    </row>
    <row r="4" spans="1:30">
      <c r="A4" s="118">
        <v>19</v>
      </c>
      <c r="B4" s="119">
        <v>0.98902811553247338</v>
      </c>
      <c r="C4" s="98">
        <v>26.999248098640567</v>
      </c>
      <c r="D4" s="115">
        <v>-2.2179608056869496E-3</v>
      </c>
      <c r="E4" s="117"/>
      <c r="F4" s="117"/>
      <c r="G4" s="115"/>
      <c r="H4" s="122"/>
      <c r="U4" s="107"/>
      <c r="V4" s="108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26.998166520159071</v>
      </c>
    </row>
    <row r="5" spans="1:30">
      <c r="A5" s="117"/>
      <c r="B5" s="117"/>
      <c r="C5" s="117"/>
      <c r="D5" s="117"/>
      <c r="E5" s="117"/>
      <c r="F5" s="117"/>
      <c r="G5" s="115"/>
      <c r="H5" s="122"/>
      <c r="W5" s="98"/>
      <c r="Z5" s="117">
        <v>1</v>
      </c>
      <c r="AA5" s="117">
        <f t="shared" si="1"/>
        <v>1.1499999999999999</v>
      </c>
      <c r="AB5" s="98">
        <f t="shared" ca="1" si="0"/>
        <v>26.997084941677574</v>
      </c>
    </row>
    <row r="6" spans="1:30" ht="13.2" customHeight="1">
      <c r="A6" s="189" t="s">
        <v>86</v>
      </c>
      <c r="B6" s="189"/>
      <c r="C6" s="189"/>
      <c r="D6" s="189"/>
      <c r="E6" s="117"/>
      <c r="F6" s="115"/>
      <c r="G6" s="115"/>
      <c r="H6" s="122"/>
      <c r="W6" s="98"/>
      <c r="Z6" s="117">
        <v>1.5</v>
      </c>
      <c r="AA6" s="117">
        <f t="shared" si="1"/>
        <v>1.7249999999999999</v>
      </c>
      <c r="AB6" s="98">
        <f t="shared" ca="1" si="0"/>
        <v>26.996003363196074</v>
      </c>
      <c r="AD6" s="115"/>
    </row>
    <row r="7" spans="1:30" ht="13.2" customHeight="1">
      <c r="A7" s="189"/>
      <c r="B7" s="189"/>
      <c r="C7" s="189"/>
      <c r="D7" s="189"/>
      <c r="E7" s="115"/>
      <c r="F7" s="115"/>
      <c r="G7" s="115"/>
      <c r="H7" s="122"/>
      <c r="W7" s="98"/>
      <c r="Z7" s="117">
        <v>2</v>
      </c>
      <c r="AA7" s="117">
        <f t="shared" si="1"/>
        <v>2.2999999999999998</v>
      </c>
      <c r="AB7" s="98">
        <f t="shared" ca="1" si="0"/>
        <v>26.994921784714577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 s="115"/>
      <c r="H8" s="122"/>
      <c r="W8" s="98"/>
      <c r="Z8" s="117">
        <v>2.5</v>
      </c>
      <c r="AA8" s="117">
        <f t="shared" si="1"/>
        <v>2.875</v>
      </c>
      <c r="AB8" s="98">
        <f t="shared" ca="1" si="0"/>
        <v>26.993840206233081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 s="115"/>
      <c r="H9" s="122"/>
      <c r="W9" s="98"/>
      <c r="Z9" s="117">
        <v>3</v>
      </c>
      <c r="AA9" s="117">
        <f t="shared" si="1"/>
        <v>3.4499999999999997</v>
      </c>
      <c r="AB9" s="98">
        <f t="shared" ca="1" si="0"/>
        <v>26.992758627751584</v>
      </c>
      <c r="AD9" s="115"/>
    </row>
    <row r="10" spans="1:30" ht="15.6">
      <c r="A10" s="117">
        <f ca="1">D13</f>
        <v>6.6772255750516614</v>
      </c>
      <c r="B10" s="98">
        <f ca="1">E13</f>
        <v>26.986300000000004</v>
      </c>
      <c r="C10" s="115"/>
      <c r="D10" s="120" t="s">
        <v>80</v>
      </c>
      <c r="E10" s="120" t="s">
        <v>79</v>
      </c>
      <c r="F10" s="117"/>
      <c r="G10" s="115"/>
      <c r="H10" s="122"/>
      <c r="W10" s="98"/>
      <c r="Z10" s="117">
        <v>3.5</v>
      </c>
      <c r="AA10" s="117">
        <f t="shared" si="1"/>
        <v>4.0249999999999995</v>
      </c>
      <c r="AB10" s="98">
        <f t="shared" ca="1" si="0"/>
        <v>26.991677049270084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5.4772255750516612</v>
      </c>
      <c r="E11" s="5">
        <f ca="1">INDIRECT("data!"&amp;$B$62&amp;A4+2)</f>
        <v>26.984000000000002</v>
      </c>
      <c r="F11" s="116" t="s">
        <v>94</v>
      </c>
      <c r="G11" s="115"/>
      <c r="H11" s="122"/>
      <c r="W11" s="98"/>
      <c r="Z11" s="117">
        <v>4</v>
      </c>
      <c r="AA11" s="117">
        <f t="shared" si="1"/>
        <v>4.5999999999999996</v>
      </c>
      <c r="AB11" s="98">
        <f t="shared" ca="1" si="0"/>
        <v>26.990595470788588</v>
      </c>
      <c r="AD11" s="115"/>
    </row>
    <row r="12" spans="1:30" ht="13.2" customHeight="1">
      <c r="A12" s="117"/>
      <c r="B12" s="117"/>
      <c r="C12" s="117"/>
      <c r="D12" s="5">
        <v>12</v>
      </c>
      <c r="E12" s="5">
        <v>23</v>
      </c>
      <c r="F12" s="117"/>
      <c r="G12" s="115"/>
      <c r="H12" s="122"/>
      <c r="W12" s="98"/>
      <c r="Z12" s="117">
        <v>4.5</v>
      </c>
      <c r="AA12" s="117">
        <f t="shared" si="1"/>
        <v>5.1749999999999998</v>
      </c>
      <c r="AB12" s="98">
        <f t="shared" ca="1" si="0"/>
        <v>26.989513892307091</v>
      </c>
      <c r="AD12" s="115"/>
    </row>
    <row r="13" spans="1:30">
      <c r="A13" s="117"/>
      <c r="B13" s="117"/>
      <c r="C13" s="117"/>
      <c r="D13" s="5">
        <f ca="1">D12*D9+D11</f>
        <v>6.6772255750516614</v>
      </c>
      <c r="E13" s="5">
        <f ca="1">E12*E9+E11</f>
        <v>26.986300000000004</v>
      </c>
      <c r="F13" s="117"/>
      <c r="G13" s="7"/>
      <c r="H13" s="50"/>
      <c r="W13" s="98"/>
      <c r="Z13" s="117">
        <v>5</v>
      </c>
      <c r="AA13" s="117">
        <f t="shared" si="1"/>
        <v>5.75</v>
      </c>
      <c r="AB13" s="98">
        <f t="shared" ca="1" si="0"/>
        <v>26.988432313825594</v>
      </c>
      <c r="AD13" s="115"/>
    </row>
    <row r="14" spans="1:30">
      <c r="A14" s="106"/>
      <c r="B14" s="106"/>
      <c r="C14" s="106"/>
      <c r="D14" s="106"/>
      <c r="E14" s="122"/>
      <c r="F14" s="122"/>
      <c r="G14" s="122"/>
      <c r="H14" s="122"/>
      <c r="W14" s="98"/>
      <c r="Z14" s="117">
        <v>5.5</v>
      </c>
      <c r="AA14" s="117">
        <f t="shared" si="1"/>
        <v>6.3249999999999993</v>
      </c>
      <c r="AB14" s="98">
        <f t="shared" ca="1" si="0"/>
        <v>26.987350735344094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 s="106"/>
      <c r="H15" s="122"/>
      <c r="W15" s="98"/>
      <c r="Z15" s="117">
        <v>6</v>
      </c>
      <c r="AA15" s="117">
        <f t="shared" si="1"/>
        <v>6.8999999999999995</v>
      </c>
      <c r="AB15" s="98">
        <f t="shared" ca="1" si="0"/>
        <v>26.986269156862598</v>
      </c>
      <c r="AD15" s="115"/>
    </row>
    <row r="16" spans="1:30" ht="15.6">
      <c r="A16" s="29" t="s">
        <v>81</v>
      </c>
      <c r="B16" s="24">
        <f ca="1">B17-1</f>
        <v>20</v>
      </c>
      <c r="C16" s="125">
        <f ca="1">INDIRECT("data!"&amp;$A$62&amp;B16)</f>
        <v>7.745966692414834</v>
      </c>
      <c r="D16" s="125">
        <f ca="1">INDIRECT("data!"&amp;$B$62&amp;B16)</f>
        <v>26.98555</v>
      </c>
      <c r="E16" s="187">
        <f ca="1">FORECAST(A17,C16:C17,D16:D17)</f>
        <v>9.3702628857427044</v>
      </c>
      <c r="F16" s="195" t="s">
        <v>93</v>
      </c>
      <c r="G16" s="106"/>
      <c r="H16" s="122"/>
      <c r="W16" s="98"/>
      <c r="Z16" s="117">
        <v>6.5</v>
      </c>
      <c r="AA16" s="117">
        <f t="shared" si="1"/>
        <v>7.4749999999999996</v>
      </c>
      <c r="AB16" s="98">
        <f t="shared" ca="1" si="0"/>
        <v>26.985187578381101</v>
      </c>
      <c r="AD16" s="115"/>
    </row>
    <row r="17" spans="1:31">
      <c r="A17" s="126">
        <f ca="1">B10+(1/9)*(B10-C4)</f>
        <v>26.984861322373273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21</v>
      </c>
      <c r="C17" s="125">
        <f ca="1">INDIRECT("data!"&amp;$A$62&amp;B17)</f>
        <v>11.401754250991379</v>
      </c>
      <c r="D17" s="125">
        <f ca="1">INDIRECT("data!"&amp;$B$62&amp;B17)</f>
        <v>26.984000000000002</v>
      </c>
      <c r="E17" s="187"/>
      <c r="F17" s="187"/>
      <c r="G17" s="122"/>
      <c r="H17" s="122"/>
      <c r="W17" s="98"/>
      <c r="Z17" s="117">
        <v>7</v>
      </c>
      <c r="AA17" s="117">
        <f t="shared" si="1"/>
        <v>8.0499999999999989</v>
      </c>
      <c r="AB17" s="98">
        <f t="shared" ca="1" si="0"/>
        <v>26.984105999899604</v>
      </c>
      <c r="AD17" s="115"/>
    </row>
    <row r="18" spans="1:31">
      <c r="A18" s="5"/>
      <c r="B18" s="24"/>
      <c r="C18" s="5"/>
      <c r="D18" s="5"/>
      <c r="E18" s="5"/>
      <c r="F18" s="5"/>
      <c r="G18" s="122"/>
      <c r="H18" s="122"/>
      <c r="W18" s="98"/>
      <c r="Z18" s="117">
        <v>7.5</v>
      </c>
      <c r="AA18" s="117">
        <f t="shared" si="1"/>
        <v>8.625</v>
      </c>
      <c r="AB18" s="98">
        <f t="shared" ca="1" si="0"/>
        <v>26.983024421418104</v>
      </c>
      <c r="AD18" s="115"/>
    </row>
    <row r="19" spans="1:31">
      <c r="A19" s="5"/>
      <c r="B19" s="24"/>
      <c r="C19" s="5"/>
      <c r="D19" s="5"/>
      <c r="E19" s="5"/>
      <c r="F19" s="5"/>
      <c r="G19" s="122"/>
      <c r="H19" s="122"/>
      <c r="Z19" s="117">
        <v>8</v>
      </c>
      <c r="AA19" s="117">
        <f t="shared" si="1"/>
        <v>9.1999999999999993</v>
      </c>
      <c r="AB19" s="98">
        <f t="shared" ca="1" si="0"/>
        <v>26.981942842936608</v>
      </c>
    </row>
    <row r="20" spans="1:31" ht="15.6">
      <c r="A20" s="29" t="s">
        <v>82</v>
      </c>
      <c r="B20" s="24">
        <f ca="1">B21-1</f>
        <v>17</v>
      </c>
      <c r="C20" s="125">
        <f ca="1">INDIRECT("data!"&amp;$A$62&amp;B20)</f>
        <v>2.8284271247461903</v>
      </c>
      <c r="D20" s="125">
        <f ca="1">INDIRECT("data!"&amp;$B$62&amp;B20)</f>
        <v>26.9923</v>
      </c>
      <c r="E20" s="187">
        <f ca="1">FORECAST(A21,C20:C21,D20:D21)</f>
        <v>3.0255184063280467</v>
      </c>
      <c r="F20" s="195" t="s">
        <v>92</v>
      </c>
      <c r="G20" s="122"/>
      <c r="H20" s="122"/>
      <c r="Z20" s="117">
        <v>8.5</v>
      </c>
      <c r="AA20" s="117">
        <f t="shared" si="1"/>
        <v>9.7749999999999986</v>
      </c>
      <c r="AB20" s="98">
        <f t="shared" ca="1" si="0"/>
        <v>26.980861264455111</v>
      </c>
      <c r="AD20" s="121" t="s">
        <v>83</v>
      </c>
      <c r="AE20" s="121" t="s">
        <v>84</v>
      </c>
    </row>
    <row r="21" spans="1:31">
      <c r="A21" s="126">
        <f ca="1">A17-(5/9)*(B10-C4)</f>
        <v>26.99205471050692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18</v>
      </c>
      <c r="C21" s="125">
        <f ca="1">INDIRECT("data!"&amp;$A$62&amp;B21)</f>
        <v>3.872983346207417</v>
      </c>
      <c r="D21" s="125">
        <f ca="1">INDIRECT("data!"&amp;$B$62&amp;B21)</f>
        <v>26.991</v>
      </c>
      <c r="E21" s="187"/>
      <c r="F21" s="195"/>
      <c r="G21" s="122"/>
      <c r="Z21" s="117">
        <v>9</v>
      </c>
      <c r="AA21" s="117">
        <f t="shared" si="1"/>
        <v>10.35</v>
      </c>
      <c r="AB21" s="98">
        <f t="shared" ca="1" si="0"/>
        <v>26.979779685973615</v>
      </c>
      <c r="AC21" s="116">
        <v>0</v>
      </c>
      <c r="AD21" s="116">
        <f t="shared" ref="AD21:AD41" ca="1" si="2">A$17</f>
        <v>26.984861322373273</v>
      </c>
      <c r="AE21" s="116">
        <f t="shared" ref="AE21:AE41" ca="1" si="3">A$21</f>
        <v>26.99205471050692</v>
      </c>
    </row>
    <row r="22" spans="1:31">
      <c r="G22" s="7"/>
      <c r="Z22" s="117">
        <v>9.5</v>
      </c>
      <c r="AA22" s="117">
        <f t="shared" si="1"/>
        <v>10.924999999999999</v>
      </c>
      <c r="AB22" s="98">
        <f t="shared" ca="1" si="0"/>
        <v>26.978698107492118</v>
      </c>
      <c r="AC22" s="116">
        <v>1</v>
      </c>
      <c r="AD22" s="116">
        <f t="shared" ca="1" si="2"/>
        <v>26.984861322373273</v>
      </c>
      <c r="AE22" s="116">
        <f t="shared" ca="1" si="3"/>
        <v>26.99205471050692</v>
      </c>
    </row>
    <row r="23" spans="1:31" ht="13.2" customHeight="1">
      <c r="G23"/>
      <c r="H23"/>
      <c r="Z23" s="117">
        <v>10</v>
      </c>
      <c r="AA23" s="117">
        <f t="shared" si="1"/>
        <v>11.5</v>
      </c>
      <c r="AB23" s="98">
        <f t="shared" ca="1" si="0"/>
        <v>26.977616529010618</v>
      </c>
      <c r="AC23" s="116">
        <v>2</v>
      </c>
      <c r="AD23" s="116">
        <f t="shared" ca="1" si="2"/>
        <v>26.984861322373273</v>
      </c>
      <c r="AE23" s="116">
        <f t="shared" ca="1" si="3"/>
        <v>26.99205471050692</v>
      </c>
    </row>
    <row r="24" spans="1:31" ht="13.2" customHeight="1">
      <c r="H24"/>
      <c r="Z24" s="117">
        <v>10.5</v>
      </c>
      <c r="AA24" s="117">
        <f t="shared" si="1"/>
        <v>12.074999999999999</v>
      </c>
      <c r="AB24" s="98">
        <f t="shared" ca="1" si="0"/>
        <v>26.976534950529121</v>
      </c>
      <c r="AC24" s="116">
        <v>3</v>
      </c>
      <c r="AD24" s="116">
        <f t="shared" ca="1" si="2"/>
        <v>26.984861322373273</v>
      </c>
      <c r="AE24" s="116">
        <f t="shared" ca="1" si="3"/>
        <v>26.99205471050692</v>
      </c>
    </row>
    <row r="25" spans="1:31">
      <c r="H25"/>
      <c r="Z25" s="117">
        <v>11</v>
      </c>
      <c r="AA25" s="117">
        <f t="shared" si="1"/>
        <v>12.649999999999999</v>
      </c>
      <c r="AB25" s="98">
        <f t="shared" ca="1" si="0"/>
        <v>26.975453372047625</v>
      </c>
      <c r="AC25" s="116">
        <v>4</v>
      </c>
      <c r="AD25" s="116">
        <f t="shared" ca="1" si="2"/>
        <v>26.984861322373273</v>
      </c>
      <c r="AE25" s="116">
        <f t="shared" ca="1" si="3"/>
        <v>26.99205471050692</v>
      </c>
    </row>
    <row r="26" spans="1:31">
      <c r="H26"/>
      <c r="Z26" s="117">
        <v>11.5</v>
      </c>
      <c r="AA26" s="117">
        <f t="shared" si="1"/>
        <v>13.225</v>
      </c>
      <c r="AB26" s="98">
        <f t="shared" ca="1" si="0"/>
        <v>26.974371793566128</v>
      </c>
      <c r="AC26" s="116">
        <v>5</v>
      </c>
      <c r="AD26" s="116">
        <f t="shared" ca="1" si="2"/>
        <v>26.984861322373273</v>
      </c>
      <c r="AE26" s="116">
        <f t="shared" ca="1" si="3"/>
        <v>26.99205471050692</v>
      </c>
    </row>
    <row r="27" spans="1:31" ht="13.2" customHeight="1">
      <c r="H27"/>
      <c r="Z27" s="117">
        <v>12</v>
      </c>
      <c r="AA27" s="117">
        <f t="shared" si="1"/>
        <v>13.799999999999999</v>
      </c>
      <c r="AB27" s="98">
        <f t="shared" ca="1" si="0"/>
        <v>26.973290215084628</v>
      </c>
      <c r="AC27" s="116">
        <v>6</v>
      </c>
      <c r="AD27" s="116">
        <f t="shared" ca="1" si="2"/>
        <v>26.984861322373273</v>
      </c>
      <c r="AE27" s="116">
        <f t="shared" ca="1" si="3"/>
        <v>26.99205471050692</v>
      </c>
    </row>
    <row r="28" spans="1:31" ht="13.2" customHeight="1">
      <c r="H28"/>
      <c r="J28" s="194" t="s">
        <v>88</v>
      </c>
      <c r="K28" s="194"/>
      <c r="L28" s="194"/>
      <c r="M28" s="194"/>
      <c r="N28" s="194"/>
      <c r="O28" s="194"/>
      <c r="P28" s="194"/>
      <c r="Z28" s="117">
        <v>12.5</v>
      </c>
      <c r="AA28" s="117">
        <f t="shared" si="1"/>
        <v>14.374999999999998</v>
      </c>
      <c r="AB28" s="98">
        <f t="shared" ca="1" si="0"/>
        <v>26.972208636603131</v>
      </c>
      <c r="AC28" s="116">
        <v>7</v>
      </c>
      <c r="AD28" s="116">
        <f t="shared" ca="1" si="2"/>
        <v>26.984861322373273</v>
      </c>
      <c r="AE28" s="116">
        <f t="shared" ca="1" si="3"/>
        <v>26.99205471050692</v>
      </c>
    </row>
    <row r="29" spans="1:31" ht="13.2" customHeight="1">
      <c r="H29"/>
      <c r="J29" s="194"/>
      <c r="K29" s="194"/>
      <c r="L29" s="194"/>
      <c r="M29" s="194"/>
      <c r="N29" s="194"/>
      <c r="O29" s="194"/>
      <c r="P29" s="194"/>
      <c r="Z29" s="117">
        <v>13</v>
      </c>
      <c r="AA29" s="117">
        <f t="shared" si="1"/>
        <v>14.95</v>
      </c>
      <c r="AB29" s="98">
        <f t="shared" ca="1" si="0"/>
        <v>26.971127058121635</v>
      </c>
      <c r="AC29" s="116">
        <v>8</v>
      </c>
      <c r="AD29" s="116">
        <f t="shared" ca="1" si="2"/>
        <v>26.984861322373273</v>
      </c>
      <c r="AE29" s="116">
        <f t="shared" ca="1" si="3"/>
        <v>26.99205471050692</v>
      </c>
    </row>
    <row r="30" spans="1:31" ht="13.2" customHeight="1">
      <c r="H30"/>
      <c r="J30" s="194"/>
      <c r="K30" s="194"/>
      <c r="L30" s="194"/>
      <c r="M30" s="194"/>
      <c r="N30" s="194"/>
      <c r="O30" s="194"/>
      <c r="P30" s="194"/>
      <c r="Z30" s="117">
        <v>13.5</v>
      </c>
      <c r="AA30" s="117">
        <f t="shared" si="1"/>
        <v>15.524999999999999</v>
      </c>
      <c r="AB30" s="98">
        <f t="shared" ca="1" si="0"/>
        <v>26.970045479640138</v>
      </c>
      <c r="AC30" s="116">
        <v>9</v>
      </c>
      <c r="AD30" s="116">
        <f t="shared" ca="1" si="2"/>
        <v>26.984861322373273</v>
      </c>
      <c r="AE30" s="116">
        <f t="shared" ca="1" si="3"/>
        <v>26.99205471050692</v>
      </c>
    </row>
    <row r="31" spans="1:31">
      <c r="J31" s="194"/>
      <c r="K31" s="194"/>
      <c r="L31" s="194"/>
      <c r="M31" s="194"/>
      <c r="N31" s="194"/>
      <c r="O31" s="194"/>
      <c r="P31" s="194"/>
      <c r="Z31" s="117">
        <v>14</v>
      </c>
      <c r="AA31" s="117">
        <f t="shared" si="1"/>
        <v>16.099999999999998</v>
      </c>
      <c r="AB31" s="98">
        <f t="shared" ca="1" si="0"/>
        <v>26.968963901158638</v>
      </c>
      <c r="AC31" s="116">
        <v>10</v>
      </c>
      <c r="AD31" s="116">
        <f t="shared" ca="1" si="2"/>
        <v>26.984861322373273</v>
      </c>
      <c r="AE31" s="116">
        <f t="shared" ca="1" si="3"/>
        <v>26.99205471050692</v>
      </c>
    </row>
    <row r="32" spans="1:31" ht="13.2" customHeight="1">
      <c r="J32" s="194"/>
      <c r="K32" s="194"/>
      <c r="L32" s="194"/>
      <c r="M32" s="194"/>
      <c r="N32" s="194"/>
      <c r="O32" s="194"/>
      <c r="P32" s="194"/>
      <c r="Z32" s="117">
        <v>14.5</v>
      </c>
      <c r="AA32" s="117">
        <f t="shared" si="1"/>
        <v>16.674999999999997</v>
      </c>
      <c r="AB32" s="98">
        <f t="shared" ca="1" si="0"/>
        <v>26.967882322677141</v>
      </c>
      <c r="AC32" s="116">
        <v>11</v>
      </c>
      <c r="AD32" s="116">
        <f t="shared" ca="1" si="2"/>
        <v>26.984861322373273</v>
      </c>
      <c r="AE32" s="116">
        <f t="shared" ca="1" si="3"/>
        <v>26.99205471050692</v>
      </c>
    </row>
    <row r="33" spans="26:31">
      <c r="Z33" s="117">
        <v>15</v>
      </c>
      <c r="AA33" s="117">
        <f t="shared" si="1"/>
        <v>17.25</v>
      </c>
      <c r="AB33" s="98">
        <f t="shared" ca="1" si="0"/>
        <v>26.966800744195645</v>
      </c>
      <c r="AC33" s="116">
        <v>12</v>
      </c>
      <c r="AD33" s="116">
        <f t="shared" ca="1" si="2"/>
        <v>26.984861322373273</v>
      </c>
      <c r="AE33" s="116">
        <f t="shared" ca="1" si="3"/>
        <v>26.99205471050692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26.965719165714148</v>
      </c>
      <c r="AC34" s="116">
        <v>13</v>
      </c>
      <c r="AD34" s="116">
        <f t="shared" ca="1" si="2"/>
        <v>26.984861322373273</v>
      </c>
      <c r="AE34" s="116">
        <f t="shared" ca="1" si="3"/>
        <v>26.99205471050692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26.964637587232652</v>
      </c>
      <c r="AC35" s="116">
        <v>14</v>
      </c>
      <c r="AD35" s="116">
        <f t="shared" ca="1" si="2"/>
        <v>26.984861322373273</v>
      </c>
      <c r="AE35" s="116">
        <f t="shared" ca="1" si="3"/>
        <v>26.99205471050692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26.963556008751151</v>
      </c>
      <c r="AC36" s="116">
        <v>15</v>
      </c>
      <c r="AD36" s="116">
        <f t="shared" ca="1" si="2"/>
        <v>26.984861322373273</v>
      </c>
      <c r="AE36" s="116">
        <f t="shared" ca="1" si="3"/>
        <v>26.99205471050692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26.962474430269655</v>
      </c>
      <c r="AC37" s="116">
        <v>16</v>
      </c>
      <c r="AD37" s="116">
        <f t="shared" ca="1" si="2"/>
        <v>26.984861322373273</v>
      </c>
      <c r="AE37" s="116">
        <f t="shared" ca="1" si="3"/>
        <v>26.99205471050692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26.961392851788158</v>
      </c>
      <c r="AC38" s="116">
        <v>17</v>
      </c>
      <c r="AD38" s="116">
        <f t="shared" ca="1" si="2"/>
        <v>26.984861322373273</v>
      </c>
      <c r="AE38" s="116">
        <f t="shared" ca="1" si="3"/>
        <v>26.99205471050692</v>
      </c>
    </row>
    <row r="39" spans="26:31">
      <c r="Z39" s="117">
        <v>18</v>
      </c>
      <c r="AA39" s="117">
        <f t="shared" si="1"/>
        <v>20.7</v>
      </c>
      <c r="AB39" s="98">
        <f t="shared" ca="1" si="0"/>
        <v>26.960311273306662</v>
      </c>
      <c r="AC39" s="116">
        <v>18</v>
      </c>
      <c r="AD39" s="116">
        <f t="shared" ca="1" si="2"/>
        <v>26.984861322373273</v>
      </c>
      <c r="AE39" s="116">
        <f t="shared" ca="1" si="3"/>
        <v>26.99205471050692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26.959229694825162</v>
      </c>
      <c r="AC40" s="116">
        <v>19</v>
      </c>
      <c r="AD40" s="116">
        <f t="shared" ca="1" si="2"/>
        <v>26.984861322373273</v>
      </c>
      <c r="AE40" s="116">
        <f t="shared" ca="1" si="3"/>
        <v>26.99205471050692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26.958148116343665</v>
      </c>
      <c r="AC41" s="116">
        <v>20</v>
      </c>
      <c r="AD41" s="116">
        <f t="shared" ca="1" si="2"/>
        <v>26.984861322373273</v>
      </c>
      <c r="AE41" s="116">
        <f t="shared" ca="1" si="3"/>
        <v>26.99205471050692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26.957066537862168</v>
      </c>
    </row>
    <row r="43" spans="26:31">
      <c r="Z43" s="117">
        <v>20</v>
      </c>
      <c r="AA43" s="117">
        <f t="shared" si="1"/>
        <v>23</v>
      </c>
      <c r="AB43" s="98">
        <f t="shared" ca="1" si="0"/>
        <v>26.955984959380672</v>
      </c>
    </row>
    <row r="61" spans="1:2">
      <c r="A61" s="188" t="s">
        <v>127</v>
      </c>
      <c r="B61" s="188"/>
    </row>
    <row r="62" spans="1:2">
      <c r="A62" s="91" t="s">
        <v>104</v>
      </c>
      <c r="B62" s="91" t="s">
        <v>105</v>
      </c>
    </row>
  </sheetData>
  <mergeCells count="12">
    <mergeCell ref="Z1:AB1"/>
    <mergeCell ref="Y2:Y3"/>
    <mergeCell ref="J28:P32"/>
    <mergeCell ref="F16:F17"/>
    <mergeCell ref="F20:F21"/>
    <mergeCell ref="E20:E21"/>
    <mergeCell ref="E16:E17"/>
    <mergeCell ref="A61:B61"/>
    <mergeCell ref="A1:D2"/>
    <mergeCell ref="A6:D7"/>
    <mergeCell ref="A8:B8"/>
    <mergeCell ref="D8:E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6990" r:id="rId4" name="Scroll Bar 62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1" r:id="rId5" name="Scroll Bar 63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62"/>
  <sheetViews>
    <sheetView topLeftCell="I1" workbookViewId="0">
      <selection activeCell="W15" sqref="W15"/>
    </sheetView>
  </sheetViews>
  <sheetFormatPr defaultRowHeight="13.2"/>
  <cols>
    <col min="1" max="4" width="8.88671875" style="40"/>
    <col min="5" max="5" width="11.109375" style="40" bestFit="1" customWidth="1"/>
    <col min="6" max="22" width="8.88671875" style="40"/>
    <col min="23" max="28" width="8.88671875" style="117"/>
    <col min="29" max="29" width="19.88671875" style="117" customWidth="1"/>
    <col min="30" max="31" width="8.88671875" style="117" customWidth="1"/>
    <col min="32" max="16384" width="8.88671875" style="40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 s="106"/>
      <c r="H1" s="122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 s="106"/>
      <c r="H2" s="122"/>
      <c r="W2" s="117">
        <v>0</v>
      </c>
      <c r="X2" s="117">
        <f>D$4*W2+C$4</f>
        <v>26.982869004004812</v>
      </c>
      <c r="Y2" s="193">
        <f ca="1">SLOPE(X2:X3,W2:W3)</f>
        <v>-1.1280719833431567E-3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 s="122"/>
      <c r="H3" s="122"/>
      <c r="W3" s="117">
        <f ca="1">INDIRECT("data!"&amp;A62&amp;A4)</f>
        <v>3.872983346207417</v>
      </c>
      <c r="X3" s="98">
        <f ca="1">INDIRECT("data!"&amp;$B$62&amp;A4)</f>
        <v>26.9785</v>
      </c>
      <c r="Y3" s="193"/>
      <c r="Z3" s="117">
        <v>0</v>
      </c>
      <c r="AA3" s="117">
        <v>0</v>
      </c>
      <c r="AB3" s="98">
        <f t="shared" ref="AB3:AB43" ca="1" si="0">Y$2*Z3+C$4</f>
        <v>26.982869004004812</v>
      </c>
    </row>
    <row r="4" spans="1:30">
      <c r="A4" s="118">
        <v>18</v>
      </c>
      <c r="B4" s="119">
        <v>0.99064192922322603</v>
      </c>
      <c r="C4" s="98">
        <v>26.982869004004812</v>
      </c>
      <c r="D4" s="115">
        <v>-1.196428306665311E-3</v>
      </c>
      <c r="E4" s="117"/>
      <c r="F4" s="117"/>
      <c r="G4" s="122"/>
      <c r="H4" s="122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26.982304968013139</v>
      </c>
    </row>
    <row r="5" spans="1:30">
      <c r="A5" s="117"/>
      <c r="B5" s="117"/>
      <c r="C5" s="117"/>
      <c r="D5" s="117"/>
      <c r="E5" s="117"/>
      <c r="F5" s="117"/>
      <c r="G5" s="122"/>
      <c r="H5" s="122"/>
      <c r="W5" s="98"/>
      <c r="Z5" s="117">
        <v>1</v>
      </c>
      <c r="AA5" s="117">
        <f t="shared" si="1"/>
        <v>1.1499999999999999</v>
      </c>
      <c r="AB5" s="98">
        <f t="shared" ca="1" si="0"/>
        <v>26.98174093202147</v>
      </c>
    </row>
    <row r="6" spans="1:30">
      <c r="A6" s="189" t="s">
        <v>86</v>
      </c>
      <c r="B6" s="189"/>
      <c r="C6" s="189"/>
      <c r="D6" s="189"/>
      <c r="E6" s="117"/>
      <c r="F6" s="115"/>
      <c r="G6" s="122"/>
      <c r="H6" s="122"/>
      <c r="W6" s="98"/>
      <c r="Z6" s="117">
        <v>1.5</v>
      </c>
      <c r="AA6" s="117">
        <f t="shared" si="1"/>
        <v>1.7249999999999999</v>
      </c>
      <c r="AB6" s="98">
        <f t="shared" ca="1" si="0"/>
        <v>26.981176896029798</v>
      </c>
      <c r="AD6" s="115"/>
    </row>
    <row r="7" spans="1:30">
      <c r="A7" s="189"/>
      <c r="B7" s="189"/>
      <c r="C7" s="189"/>
      <c r="D7" s="189"/>
      <c r="E7" s="115"/>
      <c r="F7" s="115"/>
      <c r="G7" s="106"/>
      <c r="H7" s="122"/>
      <c r="W7" s="98"/>
      <c r="Z7" s="117">
        <v>2</v>
      </c>
      <c r="AA7" s="117">
        <f t="shared" si="1"/>
        <v>2.2999999999999998</v>
      </c>
      <c r="AB7" s="98">
        <f t="shared" ca="1" si="0"/>
        <v>26.980612860038125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 s="106"/>
      <c r="H8" s="122"/>
      <c r="W8" s="98"/>
      <c r="Z8" s="117">
        <v>2.5</v>
      </c>
      <c r="AA8" s="117">
        <f t="shared" si="1"/>
        <v>2.875</v>
      </c>
      <c r="AB8" s="98">
        <f t="shared" ca="1" si="0"/>
        <v>26.980048824046452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 s="122"/>
      <c r="H9" s="122"/>
      <c r="W9" s="98"/>
      <c r="Z9" s="117">
        <v>3</v>
      </c>
      <c r="AA9" s="117">
        <f t="shared" si="1"/>
        <v>3.4499999999999997</v>
      </c>
      <c r="AB9" s="98">
        <f t="shared" ca="1" si="0"/>
        <v>26.979484788054783</v>
      </c>
      <c r="AD9" s="115"/>
    </row>
    <row r="10" spans="1:30" ht="15.6">
      <c r="A10" s="117">
        <f ca="1">D13</f>
        <v>5.0729833462074172</v>
      </c>
      <c r="B10" s="98">
        <f ca="1">E13</f>
        <v>26.976100000000002</v>
      </c>
      <c r="C10" s="115"/>
      <c r="D10" s="120" t="s">
        <v>80</v>
      </c>
      <c r="E10" s="120" t="s">
        <v>79</v>
      </c>
      <c r="F10" s="117"/>
      <c r="G10" s="122"/>
      <c r="H10" s="122"/>
      <c r="W10" s="98"/>
      <c r="Z10" s="117">
        <v>3.5</v>
      </c>
      <c r="AA10" s="117">
        <f t="shared" si="1"/>
        <v>4.0249999999999995</v>
      </c>
      <c r="AB10" s="98">
        <f t="shared" ca="1" si="0"/>
        <v>26.978920752063111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3.872983346207417</v>
      </c>
      <c r="E11" s="5">
        <f ca="1">INDIRECT("data!"&amp;$B$62&amp;A4+2)</f>
        <v>26.975200000000001</v>
      </c>
      <c r="F11" s="116" t="s">
        <v>94</v>
      </c>
      <c r="G11" s="122"/>
      <c r="H11" s="122"/>
      <c r="W11" s="98"/>
      <c r="Z11" s="117">
        <v>4</v>
      </c>
      <c r="AA11" s="117">
        <f t="shared" si="1"/>
        <v>4.5999999999999996</v>
      </c>
      <c r="AB11" s="98">
        <f t="shared" ca="1" si="0"/>
        <v>26.978356716071438</v>
      </c>
      <c r="AD11" s="115"/>
    </row>
    <row r="12" spans="1:30" ht="13.2" customHeight="1">
      <c r="A12" s="117"/>
      <c r="B12" s="117"/>
      <c r="C12" s="117"/>
      <c r="D12" s="5">
        <v>12</v>
      </c>
      <c r="E12" s="5">
        <v>9</v>
      </c>
      <c r="F12" s="117"/>
      <c r="G12" s="122"/>
      <c r="H12" s="122"/>
      <c r="W12" s="98"/>
      <c r="Z12" s="117">
        <v>4.5</v>
      </c>
      <c r="AA12" s="117">
        <f t="shared" si="1"/>
        <v>5.1749999999999998</v>
      </c>
      <c r="AB12" s="98">
        <f t="shared" ca="1" si="0"/>
        <v>26.977792680079766</v>
      </c>
      <c r="AD12" s="115"/>
    </row>
    <row r="13" spans="1:30">
      <c r="A13" s="117"/>
      <c r="B13" s="117"/>
      <c r="C13" s="117"/>
      <c r="D13" s="5">
        <f ca="1">D12*D9+D11</f>
        <v>5.0729833462074172</v>
      </c>
      <c r="E13" s="5">
        <f ca="1">E12*E9+E11</f>
        <v>26.976100000000002</v>
      </c>
      <c r="F13" s="117"/>
      <c r="G13" s="122"/>
      <c r="H13" s="122"/>
      <c r="W13" s="98"/>
      <c r="Z13" s="117">
        <v>5</v>
      </c>
      <c r="AA13" s="117">
        <f t="shared" si="1"/>
        <v>5.75</v>
      </c>
      <c r="AB13" s="98">
        <f t="shared" ca="1" si="0"/>
        <v>26.977228644088097</v>
      </c>
      <c r="AD13" s="115"/>
    </row>
    <row r="14" spans="1:30">
      <c r="A14" s="106"/>
      <c r="B14" s="106"/>
      <c r="C14" s="106"/>
      <c r="D14" s="106"/>
      <c r="E14" s="122"/>
      <c r="F14" s="122"/>
      <c r="G14" s="122"/>
      <c r="H14" s="122"/>
      <c r="W14" s="98"/>
      <c r="Z14" s="117">
        <v>5.5</v>
      </c>
      <c r="AA14" s="117">
        <f t="shared" si="1"/>
        <v>6.3249999999999993</v>
      </c>
      <c r="AB14" s="98">
        <f t="shared" ca="1" si="0"/>
        <v>26.976664608096424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 s="106"/>
      <c r="H15" s="122"/>
      <c r="W15" s="98"/>
      <c r="Z15" s="117">
        <v>6</v>
      </c>
      <c r="AA15" s="117">
        <f t="shared" si="1"/>
        <v>6.8999999999999995</v>
      </c>
      <c r="AB15" s="98">
        <f t="shared" ca="1" si="0"/>
        <v>26.976100572104752</v>
      </c>
      <c r="AD15" s="115"/>
    </row>
    <row r="16" spans="1:30" ht="15.6">
      <c r="A16" s="29" t="s">
        <v>81</v>
      </c>
      <c r="B16" s="24">
        <f ca="1">B17-1</f>
        <v>19</v>
      </c>
      <c r="C16" s="125">
        <f ca="1">INDIRECT("data!"&amp;$A$62&amp;B16)</f>
        <v>5.5677643628300215</v>
      </c>
      <c r="D16" s="125">
        <f ca="1">INDIRECT("data!"&amp;$B$62&amp;B16)</f>
        <v>26.9773</v>
      </c>
      <c r="E16" s="187">
        <f ca="1">FORECAST(A17,C16:C17,D16:D17)</f>
        <v>7.5925710004885332</v>
      </c>
      <c r="F16" s="195" t="s">
        <v>93</v>
      </c>
      <c r="G16" s="106"/>
      <c r="H16" s="122"/>
      <c r="W16" s="98"/>
      <c r="Z16" s="117">
        <v>6.5</v>
      </c>
      <c r="AA16" s="117">
        <f t="shared" si="1"/>
        <v>7.4749999999999996</v>
      </c>
      <c r="AB16" s="98">
        <f t="shared" ca="1" si="0"/>
        <v>26.975536536113083</v>
      </c>
      <c r="AD16" s="115"/>
    </row>
    <row r="17" spans="1:31">
      <c r="A17" s="126">
        <f ca="1">B10+(1/9)*(B10-C4)</f>
        <v>26.975347888443913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20</v>
      </c>
      <c r="C17" s="125">
        <f ca="1">INDIRECT("data!"&amp;$A$62&amp;B17)</f>
        <v>7.745966692414834</v>
      </c>
      <c r="D17" s="125">
        <f ca="1">INDIRECT("data!"&amp;$B$62&amp;B17)</f>
        <v>26.975200000000001</v>
      </c>
      <c r="E17" s="187"/>
      <c r="F17" s="187"/>
      <c r="G17" s="122"/>
      <c r="H17" s="122"/>
      <c r="W17" s="98"/>
      <c r="Z17" s="117">
        <v>7</v>
      </c>
      <c r="AA17" s="117">
        <f t="shared" si="1"/>
        <v>8.0499999999999989</v>
      </c>
      <c r="AB17" s="98">
        <f t="shared" ca="1" si="0"/>
        <v>26.97497250012141</v>
      </c>
      <c r="AD17" s="115"/>
    </row>
    <row r="18" spans="1:31">
      <c r="A18" s="5"/>
      <c r="B18" s="24"/>
      <c r="C18" s="5"/>
      <c r="D18" s="5"/>
      <c r="E18" s="5"/>
      <c r="F18" s="5"/>
      <c r="G18" s="122"/>
      <c r="H18" s="122"/>
      <c r="W18" s="98"/>
      <c r="Z18" s="117">
        <v>7.5</v>
      </c>
      <c r="AA18" s="117">
        <f t="shared" si="1"/>
        <v>8.625</v>
      </c>
      <c r="AB18" s="98">
        <f t="shared" ca="1" si="0"/>
        <v>26.974408464129738</v>
      </c>
      <c r="AD18" s="115"/>
    </row>
    <row r="19" spans="1:31">
      <c r="A19" s="5"/>
      <c r="B19" s="24"/>
      <c r="C19" s="5"/>
      <c r="D19" s="5"/>
      <c r="E19" s="5"/>
      <c r="F19" s="5"/>
      <c r="G19" s="122"/>
      <c r="H19" s="122"/>
      <c r="Z19" s="117">
        <v>8</v>
      </c>
      <c r="AA19" s="117">
        <f t="shared" si="1"/>
        <v>9.1999999999999993</v>
      </c>
      <c r="AB19" s="98">
        <f t="shared" ca="1" si="0"/>
        <v>26.973844428138065</v>
      </c>
    </row>
    <row r="20" spans="1:31" ht="15.6">
      <c r="A20" s="29" t="s">
        <v>82</v>
      </c>
      <c r="B20" s="24">
        <f ca="1">B21-1</f>
        <v>16</v>
      </c>
      <c r="C20" s="125">
        <f ca="1">INDIRECT("data!"&amp;$A$62&amp;B20)</f>
        <v>2</v>
      </c>
      <c r="D20" s="125">
        <f ca="1">INDIRECT("data!"&amp;$B$62&amp;B20)</f>
        <v>26.980399999999999</v>
      </c>
      <c r="E20" s="187">
        <f ca="1">FORECAST(A21,C20:C21,D20:D21)</f>
        <v>3.0007627335508005</v>
      </c>
      <c r="F20" s="195" t="s">
        <v>92</v>
      </c>
      <c r="G20" s="122"/>
      <c r="H20" s="122"/>
      <c r="Z20" s="117">
        <v>8.5</v>
      </c>
      <c r="AA20" s="117">
        <f t="shared" si="1"/>
        <v>9.7749999999999986</v>
      </c>
      <c r="AB20" s="98">
        <f t="shared" ca="1" si="0"/>
        <v>26.973280392146396</v>
      </c>
      <c r="AD20" s="121" t="s">
        <v>83</v>
      </c>
      <c r="AE20" s="121" t="s">
        <v>84</v>
      </c>
    </row>
    <row r="21" spans="1:31">
      <c r="A21" s="126">
        <f ca="1">A17-(5/9)*(B10-C4)</f>
        <v>26.979108446224362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17</v>
      </c>
      <c r="C21" s="125">
        <f ca="1">INDIRECT("data!"&amp;$A$62&amp;B21)</f>
        <v>3.1622776601683795</v>
      </c>
      <c r="D21" s="125">
        <f ca="1">INDIRECT("data!"&amp;$B$62&amp;B21)</f>
        <v>26.978899999999999</v>
      </c>
      <c r="E21" s="187"/>
      <c r="F21" s="195"/>
      <c r="G21" s="122"/>
      <c r="H21" s="122"/>
      <c r="Z21" s="117">
        <v>9</v>
      </c>
      <c r="AA21" s="117">
        <f t="shared" si="1"/>
        <v>10.35</v>
      </c>
      <c r="AB21" s="98">
        <f t="shared" ca="1" si="0"/>
        <v>26.972716356154724</v>
      </c>
      <c r="AC21" s="116">
        <v>0</v>
      </c>
      <c r="AD21" s="116">
        <f t="shared" ref="AD21:AD41" ca="1" si="2">A$17</f>
        <v>26.975347888443913</v>
      </c>
      <c r="AE21" s="116">
        <f t="shared" ref="AE21:AE41" ca="1" si="3">A$21</f>
        <v>26.979108446224362</v>
      </c>
    </row>
    <row r="22" spans="1:31">
      <c r="M22" s="35">
        <v>1</v>
      </c>
      <c r="N22" s="35" t="e">
        <f>#REF!</f>
        <v>#REF!</v>
      </c>
      <c r="O22" s="35" t="e">
        <f>#REF!</f>
        <v>#REF!</v>
      </c>
      <c r="Z22" s="117">
        <v>9.5</v>
      </c>
      <c r="AA22" s="117">
        <f t="shared" si="1"/>
        <v>10.924999999999999</v>
      </c>
      <c r="AB22" s="98">
        <f t="shared" ca="1" si="0"/>
        <v>26.972152320163051</v>
      </c>
      <c r="AC22" s="116">
        <v>1</v>
      </c>
      <c r="AD22" s="116">
        <f t="shared" ca="1" si="2"/>
        <v>26.975347888443913</v>
      </c>
      <c r="AE22" s="116">
        <f t="shared" ca="1" si="3"/>
        <v>26.979108446224362</v>
      </c>
    </row>
    <row r="23" spans="1:31" ht="13.2" customHeight="1">
      <c r="M23" s="35">
        <v>2</v>
      </c>
      <c r="N23" s="35" t="e">
        <f>#REF!</f>
        <v>#REF!</v>
      </c>
      <c r="O23" s="35" t="e">
        <f>#REF!</f>
        <v>#REF!</v>
      </c>
      <c r="Z23" s="117">
        <v>10</v>
      </c>
      <c r="AA23" s="117">
        <f t="shared" si="1"/>
        <v>11.5</v>
      </c>
      <c r="AB23" s="98">
        <f t="shared" ca="1" si="0"/>
        <v>26.971588284171379</v>
      </c>
      <c r="AC23" s="116">
        <v>2</v>
      </c>
      <c r="AD23" s="116">
        <f t="shared" ca="1" si="2"/>
        <v>26.975347888443913</v>
      </c>
      <c r="AE23" s="116">
        <f t="shared" ca="1" si="3"/>
        <v>26.979108446224362</v>
      </c>
    </row>
    <row r="24" spans="1:31" ht="13.2" customHeight="1">
      <c r="M24" s="35">
        <v>3</v>
      </c>
      <c r="N24" s="35" t="e">
        <f>#REF!</f>
        <v>#REF!</v>
      </c>
      <c r="O24" s="35" t="e">
        <f>#REF!</f>
        <v>#REF!</v>
      </c>
      <c r="Z24" s="117">
        <v>10.5</v>
      </c>
      <c r="AA24" s="117">
        <f t="shared" si="1"/>
        <v>12.074999999999999</v>
      </c>
      <c r="AB24" s="98">
        <f t="shared" ca="1" si="0"/>
        <v>26.97102424817971</v>
      </c>
      <c r="AC24" s="116">
        <v>3</v>
      </c>
      <c r="AD24" s="116">
        <f t="shared" ca="1" si="2"/>
        <v>26.975347888443913</v>
      </c>
      <c r="AE24" s="116">
        <f t="shared" ca="1" si="3"/>
        <v>26.979108446224362</v>
      </c>
    </row>
    <row r="25" spans="1:31">
      <c r="M25" s="35">
        <v>4</v>
      </c>
      <c r="N25" s="35" t="e">
        <f>#REF!</f>
        <v>#REF!</v>
      </c>
      <c r="O25" s="35" t="e">
        <f>#REF!</f>
        <v>#REF!</v>
      </c>
      <c r="Z25" s="117">
        <v>11</v>
      </c>
      <c r="AA25" s="117">
        <f t="shared" si="1"/>
        <v>12.649999999999999</v>
      </c>
      <c r="AB25" s="98">
        <f t="shared" ca="1" si="0"/>
        <v>26.970460212188037</v>
      </c>
      <c r="AC25" s="116">
        <v>4</v>
      </c>
      <c r="AD25" s="116">
        <f t="shared" ca="1" si="2"/>
        <v>26.975347888443913</v>
      </c>
      <c r="AE25" s="116">
        <f t="shared" ca="1" si="3"/>
        <v>26.979108446224362</v>
      </c>
    </row>
    <row r="26" spans="1:31">
      <c r="M26" s="35">
        <v>5</v>
      </c>
      <c r="N26" s="35" t="e">
        <f>#REF!</f>
        <v>#REF!</v>
      </c>
      <c r="O26" s="35" t="e">
        <f>#REF!</f>
        <v>#REF!</v>
      </c>
      <c r="Z26" s="117">
        <v>11.5</v>
      </c>
      <c r="AA26" s="117">
        <f t="shared" si="1"/>
        <v>13.225</v>
      </c>
      <c r="AB26" s="98">
        <f t="shared" ca="1" si="0"/>
        <v>26.969896176196364</v>
      </c>
      <c r="AC26" s="116">
        <v>5</v>
      </c>
      <c r="AD26" s="116">
        <f t="shared" ca="1" si="2"/>
        <v>26.975347888443913</v>
      </c>
      <c r="AE26" s="116">
        <f t="shared" ca="1" si="3"/>
        <v>26.979108446224362</v>
      </c>
    </row>
    <row r="27" spans="1:31">
      <c r="M27" s="35">
        <v>6</v>
      </c>
      <c r="N27" s="35" t="e">
        <f>#REF!</f>
        <v>#REF!</v>
      </c>
      <c r="O27" s="35" t="e">
        <f>#REF!</f>
        <v>#REF!</v>
      </c>
      <c r="Z27" s="117">
        <v>12</v>
      </c>
      <c r="AA27" s="117">
        <f t="shared" si="1"/>
        <v>13.799999999999999</v>
      </c>
      <c r="AB27" s="98">
        <f t="shared" ca="1" si="0"/>
        <v>26.969332140204692</v>
      </c>
      <c r="AC27" s="116">
        <v>6</v>
      </c>
      <c r="AD27" s="116">
        <f t="shared" ca="1" si="2"/>
        <v>26.975347888443913</v>
      </c>
      <c r="AE27" s="116">
        <f t="shared" ca="1" si="3"/>
        <v>26.979108446224362</v>
      </c>
    </row>
    <row r="28" spans="1:31" ht="13.2" customHeight="1">
      <c r="M28" s="35">
        <v>7</v>
      </c>
      <c r="N28" s="35"/>
      <c r="O28" s="35"/>
      <c r="Z28" s="117">
        <v>12.5</v>
      </c>
      <c r="AA28" s="117">
        <f t="shared" si="1"/>
        <v>14.374999999999998</v>
      </c>
      <c r="AB28" s="98">
        <f t="shared" ca="1" si="0"/>
        <v>26.968768104213023</v>
      </c>
      <c r="AC28" s="116">
        <v>7</v>
      </c>
      <c r="AD28" s="116">
        <f t="shared" ca="1" si="2"/>
        <v>26.975347888443913</v>
      </c>
      <c r="AE28" s="116">
        <f t="shared" ca="1" si="3"/>
        <v>26.979108446224362</v>
      </c>
    </row>
    <row r="29" spans="1:31" ht="13.2" customHeight="1">
      <c r="M29" s="35">
        <v>8</v>
      </c>
      <c r="N29" s="35"/>
      <c r="O29" s="35"/>
      <c r="Z29" s="117">
        <v>13</v>
      </c>
      <c r="AA29" s="117">
        <f t="shared" si="1"/>
        <v>14.95</v>
      </c>
      <c r="AB29" s="98">
        <f t="shared" ca="1" si="0"/>
        <v>26.96820406822135</v>
      </c>
      <c r="AC29" s="116">
        <v>8</v>
      </c>
      <c r="AD29" s="116">
        <f t="shared" ca="1" si="2"/>
        <v>26.975347888443913</v>
      </c>
      <c r="AE29" s="116">
        <f t="shared" ca="1" si="3"/>
        <v>26.979108446224362</v>
      </c>
    </row>
    <row r="30" spans="1:31" ht="13.2" customHeight="1">
      <c r="M30" s="35">
        <v>9</v>
      </c>
      <c r="N30" s="35"/>
      <c r="O30" s="35"/>
      <c r="Z30" s="117">
        <v>13.5</v>
      </c>
      <c r="AA30" s="117">
        <f t="shared" si="1"/>
        <v>15.524999999999999</v>
      </c>
      <c r="AB30" s="98">
        <f t="shared" ca="1" si="0"/>
        <v>26.967640032229678</v>
      </c>
      <c r="AC30" s="116">
        <v>9</v>
      </c>
      <c r="AD30" s="116">
        <f t="shared" ca="1" si="2"/>
        <v>26.975347888443913</v>
      </c>
      <c r="AE30" s="116">
        <f t="shared" ca="1" si="3"/>
        <v>26.979108446224362</v>
      </c>
    </row>
    <row r="31" spans="1:31" ht="13.8">
      <c r="J31" s="97"/>
      <c r="K31" s="97"/>
      <c r="L31" s="97"/>
      <c r="M31" s="97"/>
      <c r="N31" s="97"/>
      <c r="O31" s="97"/>
      <c r="P31" s="97"/>
      <c r="Z31" s="117">
        <v>14</v>
      </c>
      <c r="AA31" s="117">
        <f t="shared" si="1"/>
        <v>16.099999999999998</v>
      </c>
      <c r="AB31" s="98">
        <f t="shared" ca="1" si="0"/>
        <v>26.967075996238009</v>
      </c>
      <c r="AC31" s="116">
        <v>10</v>
      </c>
      <c r="AD31" s="116">
        <f t="shared" ca="1" si="2"/>
        <v>26.975347888443913</v>
      </c>
      <c r="AE31" s="116">
        <f t="shared" ca="1" si="3"/>
        <v>26.979108446224362</v>
      </c>
    </row>
    <row r="32" spans="1:31" ht="13.8">
      <c r="J32" s="97"/>
      <c r="K32" s="97"/>
      <c r="L32" s="97"/>
      <c r="M32" s="97"/>
      <c r="N32" s="97"/>
      <c r="O32" s="97"/>
      <c r="P32" s="97"/>
      <c r="Z32" s="117">
        <v>14.5</v>
      </c>
      <c r="AA32" s="117">
        <f t="shared" si="1"/>
        <v>16.674999999999997</v>
      </c>
      <c r="AB32" s="98">
        <f t="shared" ca="1" si="0"/>
        <v>26.966511960246336</v>
      </c>
      <c r="AC32" s="116">
        <v>11</v>
      </c>
      <c r="AD32" s="116">
        <f t="shared" ca="1" si="2"/>
        <v>26.975347888443913</v>
      </c>
      <c r="AE32" s="116">
        <f t="shared" ca="1" si="3"/>
        <v>26.979108446224362</v>
      </c>
    </row>
    <row r="33" spans="26:31">
      <c r="Z33" s="117">
        <v>15</v>
      </c>
      <c r="AA33" s="117">
        <f t="shared" si="1"/>
        <v>17.25</v>
      </c>
      <c r="AB33" s="98">
        <f t="shared" ca="1" si="0"/>
        <v>26.965947924254664</v>
      </c>
      <c r="AC33" s="116">
        <v>12</v>
      </c>
      <c r="AD33" s="116">
        <f t="shared" ca="1" si="2"/>
        <v>26.975347888443913</v>
      </c>
      <c r="AE33" s="116">
        <f t="shared" ca="1" si="3"/>
        <v>26.979108446224362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26.965383888262991</v>
      </c>
      <c r="AC34" s="116">
        <v>13</v>
      </c>
      <c r="AD34" s="116">
        <f t="shared" ca="1" si="2"/>
        <v>26.975347888443913</v>
      </c>
      <c r="AE34" s="116">
        <f t="shared" ca="1" si="3"/>
        <v>26.979108446224362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26.964819852271322</v>
      </c>
      <c r="AC35" s="116">
        <v>14</v>
      </c>
      <c r="AD35" s="116">
        <f t="shared" ca="1" si="2"/>
        <v>26.975347888443913</v>
      </c>
      <c r="AE35" s="116">
        <f t="shared" ca="1" si="3"/>
        <v>26.979108446224362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26.96425581627965</v>
      </c>
      <c r="AC36" s="116">
        <v>15</v>
      </c>
      <c r="AD36" s="116">
        <f t="shared" ca="1" si="2"/>
        <v>26.975347888443913</v>
      </c>
      <c r="AE36" s="116">
        <f t="shared" ca="1" si="3"/>
        <v>26.979108446224362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26.963691780287977</v>
      </c>
      <c r="AC37" s="116">
        <v>16</v>
      </c>
      <c r="AD37" s="116">
        <f t="shared" ca="1" si="2"/>
        <v>26.975347888443913</v>
      </c>
      <c r="AE37" s="116">
        <f t="shared" ca="1" si="3"/>
        <v>26.979108446224362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26.963127744296305</v>
      </c>
      <c r="AC38" s="116">
        <v>17</v>
      </c>
      <c r="AD38" s="116">
        <f t="shared" ca="1" si="2"/>
        <v>26.975347888443913</v>
      </c>
      <c r="AE38" s="116">
        <f t="shared" ca="1" si="3"/>
        <v>26.979108446224362</v>
      </c>
    </row>
    <row r="39" spans="26:31">
      <c r="Z39" s="117">
        <v>18</v>
      </c>
      <c r="AA39" s="117">
        <f t="shared" si="1"/>
        <v>20.7</v>
      </c>
      <c r="AB39" s="98">
        <f t="shared" ca="1" si="0"/>
        <v>26.962563708304636</v>
      </c>
      <c r="AC39" s="116">
        <v>18</v>
      </c>
      <c r="AD39" s="116">
        <f t="shared" ca="1" si="2"/>
        <v>26.975347888443913</v>
      </c>
      <c r="AE39" s="116">
        <f t="shared" ca="1" si="3"/>
        <v>26.979108446224362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26.961999672312963</v>
      </c>
      <c r="AC40" s="116">
        <v>19</v>
      </c>
      <c r="AD40" s="116">
        <f t="shared" ca="1" si="2"/>
        <v>26.975347888443913</v>
      </c>
      <c r="AE40" s="116">
        <f t="shared" ca="1" si="3"/>
        <v>26.979108446224362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26.961435636321291</v>
      </c>
      <c r="AC41" s="116">
        <v>20</v>
      </c>
      <c r="AD41" s="116">
        <f t="shared" ca="1" si="2"/>
        <v>26.975347888443913</v>
      </c>
      <c r="AE41" s="116">
        <f t="shared" ca="1" si="3"/>
        <v>26.979108446224362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26.960871600329622</v>
      </c>
    </row>
    <row r="43" spans="26:31">
      <c r="Z43" s="117">
        <v>20</v>
      </c>
      <c r="AA43" s="117">
        <f t="shared" si="1"/>
        <v>23</v>
      </c>
      <c r="AB43" s="98">
        <f t="shared" ca="1" si="0"/>
        <v>26.960307564337949</v>
      </c>
    </row>
    <row r="61" spans="1:2">
      <c r="A61" s="188" t="s">
        <v>127</v>
      </c>
      <c r="B61" s="188"/>
    </row>
    <row r="62" spans="1:2">
      <c r="A62" s="82" t="s">
        <v>106</v>
      </c>
      <c r="B62" s="91" t="s">
        <v>107</v>
      </c>
    </row>
  </sheetData>
  <mergeCells count="11">
    <mergeCell ref="A8:B8"/>
    <mergeCell ref="D8:E8"/>
    <mergeCell ref="Z1:AB1"/>
    <mergeCell ref="Y2:Y3"/>
    <mergeCell ref="A61:B61"/>
    <mergeCell ref="E20:E21"/>
    <mergeCell ref="F20:F21"/>
    <mergeCell ref="A1:D2"/>
    <mergeCell ref="E16:E17"/>
    <mergeCell ref="F16:F17"/>
    <mergeCell ref="A6:D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7969" r:id="rId3" name="Scroll Bar 17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70" r:id="rId4" name="Scroll Bar 18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62"/>
  <sheetViews>
    <sheetView topLeftCell="G1" workbookViewId="0">
      <selection activeCell="G24" sqref="G24"/>
    </sheetView>
  </sheetViews>
  <sheetFormatPr defaultRowHeight="13.2"/>
  <cols>
    <col min="1" max="4" width="8.88671875" style="40"/>
    <col min="5" max="5" width="11.109375" style="40" bestFit="1" customWidth="1"/>
    <col min="6" max="22" width="8.88671875" style="40"/>
    <col min="23" max="28" width="8.88671875" style="117"/>
    <col min="29" max="29" width="19.88671875" style="117" customWidth="1"/>
    <col min="30" max="31" width="8.88671875" style="117" customWidth="1"/>
    <col min="32" max="16384" width="8.88671875" style="40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/>
      <c r="H1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/>
      <c r="H2"/>
      <c r="W2" s="117">
        <v>0</v>
      </c>
      <c r="X2" s="117">
        <f>D$4*W2+C$4</f>
        <v>26.974772224001278</v>
      </c>
      <c r="Y2" s="193">
        <f ca="1">SLOPE(X2:X3,W2:W3)</f>
        <v>-4.3535224655442766E-4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/>
      <c r="H3"/>
      <c r="W3" s="117">
        <f ca="1">INDIRECT("data!"&amp;A62&amp;A4)</f>
        <v>7.745966692414834</v>
      </c>
      <c r="X3" s="98">
        <f ca="1">INDIRECT("data!"&amp;$B$62&amp;A4)</f>
        <v>26.971399999999999</v>
      </c>
      <c r="Y3" s="193"/>
      <c r="Z3" s="117">
        <v>0</v>
      </c>
      <c r="AA3" s="117">
        <v>0</v>
      </c>
      <c r="AB3" s="98">
        <f t="shared" ref="AB3:AB43" ca="1" si="0">Y$2*Z3+C$4</f>
        <v>26.974772224001278</v>
      </c>
    </row>
    <row r="4" spans="1:30">
      <c r="A4" s="118">
        <v>20</v>
      </c>
      <c r="B4" s="119">
        <v>0.87806293639145749</v>
      </c>
      <c r="C4" s="98">
        <v>26.974772224001278</v>
      </c>
      <c r="D4" s="115">
        <v>-4.2705125644548536E-4</v>
      </c>
      <c r="E4" s="117"/>
      <c r="F4" s="117"/>
      <c r="G4"/>
      <c r="H4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26.974554547878</v>
      </c>
    </row>
    <row r="5" spans="1:30">
      <c r="A5" s="117"/>
      <c r="B5" s="117"/>
      <c r="C5" s="117"/>
      <c r="D5" s="117"/>
      <c r="E5" s="117"/>
      <c r="F5" s="117"/>
      <c r="G5"/>
      <c r="H5"/>
      <c r="W5" s="98"/>
      <c r="Z5" s="117">
        <v>1</v>
      </c>
      <c r="AA5" s="117">
        <f t="shared" si="1"/>
        <v>1.1499999999999999</v>
      </c>
      <c r="AB5" s="98">
        <f t="shared" ca="1" si="0"/>
        <v>26.974336871754723</v>
      </c>
    </row>
    <row r="6" spans="1:30">
      <c r="A6" s="189" t="s">
        <v>86</v>
      </c>
      <c r="B6" s="189"/>
      <c r="C6" s="189"/>
      <c r="D6" s="189"/>
      <c r="E6" s="117"/>
      <c r="F6" s="115"/>
      <c r="G6"/>
      <c r="H6"/>
      <c r="W6" s="98"/>
      <c r="Z6" s="117">
        <v>1.5</v>
      </c>
      <c r="AA6" s="117">
        <f t="shared" si="1"/>
        <v>1.7249999999999999</v>
      </c>
      <c r="AB6" s="98">
        <f t="shared" ca="1" si="0"/>
        <v>26.974119195631445</v>
      </c>
      <c r="AD6" s="115"/>
    </row>
    <row r="7" spans="1:30">
      <c r="A7" s="189"/>
      <c r="B7" s="189"/>
      <c r="C7" s="189"/>
      <c r="D7" s="189"/>
      <c r="E7" s="115"/>
      <c r="F7" s="115"/>
      <c r="G7"/>
      <c r="H7"/>
      <c r="W7" s="98"/>
      <c r="Z7" s="117">
        <v>2</v>
      </c>
      <c r="AA7" s="117">
        <f t="shared" si="1"/>
        <v>2.2999999999999998</v>
      </c>
      <c r="AB7" s="98">
        <f t="shared" ca="1" si="0"/>
        <v>26.973901519508168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/>
      <c r="H8"/>
      <c r="W8" s="98"/>
      <c r="Z8" s="117">
        <v>2.5</v>
      </c>
      <c r="AA8" s="117">
        <f t="shared" si="1"/>
        <v>2.875</v>
      </c>
      <c r="AB8" s="98">
        <f t="shared" ca="1" si="0"/>
        <v>26.97368384338489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/>
      <c r="H9"/>
      <c r="W9" s="98"/>
      <c r="Z9" s="117">
        <v>3</v>
      </c>
      <c r="AA9" s="117">
        <f t="shared" si="1"/>
        <v>3.4499999999999997</v>
      </c>
      <c r="AB9" s="98">
        <f t="shared" ca="1" si="0"/>
        <v>26.973466167261613</v>
      </c>
      <c r="AD9" s="115"/>
    </row>
    <row r="10" spans="1:30" ht="15.6">
      <c r="A10" s="117">
        <f ca="1">D13</f>
        <v>8.9459666924148351</v>
      </c>
      <c r="B10" s="98">
        <f ca="1">E13</f>
        <v>26.971200000000003</v>
      </c>
      <c r="C10" s="115"/>
      <c r="D10" s="120" t="s">
        <v>80</v>
      </c>
      <c r="E10" s="120" t="s">
        <v>79</v>
      </c>
      <c r="F10" s="117"/>
      <c r="G10"/>
      <c r="H10"/>
      <c r="W10" s="98"/>
      <c r="Z10" s="117">
        <v>3.5</v>
      </c>
      <c r="AA10" s="117">
        <f t="shared" si="1"/>
        <v>4.0249999999999995</v>
      </c>
      <c r="AB10" s="98">
        <f t="shared" ca="1" si="0"/>
        <v>26.973248491138339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7.745966692414834</v>
      </c>
      <c r="E11" s="5">
        <f ca="1">INDIRECT("data!"&amp;$B$62&amp;A4+2)</f>
        <v>26.970300000000002</v>
      </c>
      <c r="F11" s="116" t="s">
        <v>94</v>
      </c>
      <c r="G11"/>
      <c r="H11"/>
      <c r="W11" s="98"/>
      <c r="Z11" s="117">
        <v>4</v>
      </c>
      <c r="AA11" s="117">
        <f t="shared" si="1"/>
        <v>4.5999999999999996</v>
      </c>
      <c r="AB11" s="98">
        <f t="shared" ca="1" si="0"/>
        <v>26.973030815015061</v>
      </c>
      <c r="AD11" s="115"/>
    </row>
    <row r="12" spans="1:30" ht="13.2" customHeight="1">
      <c r="A12" s="117"/>
      <c r="B12" s="117"/>
      <c r="C12" s="117"/>
      <c r="D12" s="5">
        <v>12</v>
      </c>
      <c r="E12" s="5">
        <v>9</v>
      </c>
      <c r="F12" s="117"/>
      <c r="G12"/>
      <c r="H12"/>
      <c r="W12" s="98"/>
      <c r="Z12" s="117">
        <v>4.5</v>
      </c>
      <c r="AA12" s="117">
        <f t="shared" si="1"/>
        <v>5.1749999999999998</v>
      </c>
      <c r="AB12" s="98">
        <f t="shared" ca="1" si="0"/>
        <v>26.972813138891784</v>
      </c>
      <c r="AD12" s="115"/>
    </row>
    <row r="13" spans="1:30">
      <c r="A13" s="117"/>
      <c r="B13" s="117"/>
      <c r="C13" s="117"/>
      <c r="D13" s="5">
        <f ca="1">D12*D9+D11</f>
        <v>8.9459666924148351</v>
      </c>
      <c r="E13" s="5">
        <f ca="1">E12*E9+E11</f>
        <v>26.971200000000003</v>
      </c>
      <c r="F13" s="117"/>
      <c r="G13"/>
      <c r="H13"/>
      <c r="W13" s="98"/>
      <c r="Z13" s="117">
        <v>5</v>
      </c>
      <c r="AA13" s="117">
        <f t="shared" si="1"/>
        <v>5.75</v>
      </c>
      <c r="AB13" s="98">
        <f t="shared" ca="1" si="0"/>
        <v>26.972595462768506</v>
      </c>
      <c r="AD13" s="115"/>
    </row>
    <row r="14" spans="1:30">
      <c r="A14"/>
      <c r="B14"/>
      <c r="C14"/>
      <c r="D14"/>
      <c r="E14"/>
      <c r="F14"/>
      <c r="G14"/>
      <c r="H14"/>
      <c r="W14" s="98"/>
      <c r="Z14" s="117">
        <v>5.5</v>
      </c>
      <c r="AA14" s="117">
        <f t="shared" si="1"/>
        <v>6.3249999999999993</v>
      </c>
      <c r="AB14" s="98">
        <f t="shared" ca="1" si="0"/>
        <v>26.972377786645229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/>
      <c r="H15"/>
      <c r="W15" s="98"/>
      <c r="Z15" s="117">
        <v>6</v>
      </c>
      <c r="AA15" s="117">
        <f t="shared" si="1"/>
        <v>6.8999999999999995</v>
      </c>
      <c r="AB15" s="98">
        <f t="shared" ca="1" si="0"/>
        <v>26.972160110521951</v>
      </c>
      <c r="AD15" s="115"/>
    </row>
    <row r="16" spans="1:30" ht="15.6">
      <c r="A16" s="29" t="s">
        <v>81</v>
      </c>
      <c r="B16" s="24">
        <f ca="1">B17-1</f>
        <v>20</v>
      </c>
      <c r="C16" s="125">
        <f ca="1">INDIRECT("data!"&amp;$A$62&amp;B16)</f>
        <v>7.745966692414834</v>
      </c>
      <c r="D16" s="125">
        <f ca="1">INDIRECT("data!"&amp;$B$62&amp;B16)</f>
        <v>26.971399999999999</v>
      </c>
      <c r="E16" s="187">
        <f ca="1">FORECAST(A17,C16:C17,D16:D17)</f>
        <v>11.022327062266413</v>
      </c>
      <c r="F16" s="195" t="s">
        <v>93</v>
      </c>
      <c r="G16"/>
      <c r="H16"/>
      <c r="W16" s="98"/>
      <c r="Z16" s="117">
        <v>6.5</v>
      </c>
      <c r="AA16" s="117">
        <f t="shared" si="1"/>
        <v>7.4749999999999996</v>
      </c>
      <c r="AB16" s="98">
        <f t="shared" ca="1" si="0"/>
        <v>26.971942434398674</v>
      </c>
      <c r="AD16" s="115"/>
    </row>
    <row r="17" spans="1:31">
      <c r="A17" s="126">
        <f ca="1">B10+(1/9)*(B10-C4)</f>
        <v>26.970803086222084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21</v>
      </c>
      <c r="C17" s="125">
        <f ca="1">INDIRECT("data!"&amp;$A$62&amp;B17)</f>
        <v>11.313708498984761</v>
      </c>
      <c r="D17" s="125">
        <f ca="1">INDIRECT("data!"&amp;$B$62&amp;B17)</f>
        <v>26.970749999999999</v>
      </c>
      <c r="E17" s="187"/>
      <c r="F17" s="187"/>
      <c r="G17"/>
      <c r="H17"/>
      <c r="W17" s="98"/>
      <c r="Z17" s="117">
        <v>7</v>
      </c>
      <c r="AA17" s="117">
        <f t="shared" si="1"/>
        <v>8.0499999999999989</v>
      </c>
      <c r="AB17" s="98">
        <f t="shared" ca="1" si="0"/>
        <v>26.971724758275396</v>
      </c>
      <c r="AD17" s="115"/>
    </row>
    <row r="18" spans="1:31">
      <c r="A18" s="5"/>
      <c r="B18" s="24"/>
      <c r="C18" s="5"/>
      <c r="D18" s="5"/>
      <c r="E18" s="5"/>
      <c r="F18" s="5"/>
      <c r="G18"/>
      <c r="H18"/>
      <c r="W18" s="98"/>
      <c r="Z18" s="117">
        <v>7.5</v>
      </c>
      <c r="AA18" s="117">
        <f t="shared" si="1"/>
        <v>8.625</v>
      </c>
      <c r="AB18" s="98">
        <f t="shared" ca="1" si="0"/>
        <v>26.971507082152119</v>
      </c>
      <c r="AD18" s="115"/>
    </row>
    <row r="19" spans="1:31">
      <c r="A19" s="5"/>
      <c r="B19" s="24"/>
      <c r="C19" s="5"/>
      <c r="D19" s="5"/>
      <c r="E19" s="5"/>
      <c r="F19" s="5"/>
      <c r="G19"/>
      <c r="H19"/>
      <c r="Z19" s="117">
        <v>8</v>
      </c>
      <c r="AA19" s="117">
        <f t="shared" si="1"/>
        <v>9.1999999999999993</v>
      </c>
      <c r="AB19" s="98">
        <f t="shared" ca="1" si="0"/>
        <v>26.971289406028841</v>
      </c>
    </row>
    <row r="20" spans="1:31" ht="15.6">
      <c r="A20" s="29" t="s">
        <v>82</v>
      </c>
      <c r="B20" s="24">
        <f ca="1">B21-1</f>
        <v>18</v>
      </c>
      <c r="C20" s="125">
        <f ca="1">INDIRECT("data!"&amp;$A$62&amp;B20)</f>
        <v>3.872983346207417</v>
      </c>
      <c r="D20" s="125">
        <f ca="1">INDIRECT("data!"&amp;$B$62&amp;B20)</f>
        <v>26.973749999999999</v>
      </c>
      <c r="E20" s="187">
        <f ca="1">FORECAST(A21,C20:C21,D20:D21)</f>
        <v>4.6260732528135122</v>
      </c>
      <c r="F20" s="195" t="s">
        <v>92</v>
      </c>
      <c r="G20" s="122"/>
      <c r="H20"/>
      <c r="Z20" s="117">
        <v>8.5</v>
      </c>
      <c r="AA20" s="117">
        <f t="shared" si="1"/>
        <v>9.7749999999999986</v>
      </c>
      <c r="AB20" s="98">
        <f t="shared" ca="1" si="0"/>
        <v>26.971071729905564</v>
      </c>
      <c r="AD20" s="121" t="s">
        <v>83</v>
      </c>
      <c r="AE20" s="121" t="s">
        <v>84</v>
      </c>
    </row>
    <row r="21" spans="1:31">
      <c r="A21" s="126">
        <f ca="1">A17-(5/9)*(B10-C4)</f>
        <v>26.972787655111681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19</v>
      </c>
      <c r="C21" s="125">
        <f ca="1">INDIRECT("data!"&amp;$A$62&amp;B21)</f>
        <v>5.4772255750516612</v>
      </c>
      <c r="D21" s="125">
        <f ca="1">INDIRECT("data!"&amp;$B$62&amp;B21)</f>
        <v>26.971699999999998</v>
      </c>
      <c r="E21" s="187"/>
      <c r="F21" s="195"/>
      <c r="G21" s="122"/>
      <c r="Z21" s="117">
        <v>9</v>
      </c>
      <c r="AA21" s="117">
        <f t="shared" si="1"/>
        <v>10.35</v>
      </c>
      <c r="AB21" s="98">
        <f t="shared" ca="1" si="0"/>
        <v>26.970854053782286</v>
      </c>
      <c r="AC21" s="116">
        <v>0</v>
      </c>
      <c r="AD21" s="116">
        <f t="shared" ref="AD21:AD41" ca="1" si="2">A$17</f>
        <v>26.970803086222084</v>
      </c>
      <c r="AE21" s="116">
        <f t="shared" ref="AE21:AE41" ca="1" si="3">A$21</f>
        <v>26.972787655111681</v>
      </c>
    </row>
    <row r="22" spans="1:31">
      <c r="G22"/>
      <c r="H22"/>
      <c r="Z22" s="117">
        <v>9.5</v>
      </c>
      <c r="AA22" s="117">
        <f t="shared" si="1"/>
        <v>10.924999999999999</v>
      </c>
      <c r="AB22" s="98">
        <f t="shared" ca="1" si="0"/>
        <v>26.970636377659012</v>
      </c>
      <c r="AC22" s="116">
        <v>1</v>
      </c>
      <c r="AD22" s="116">
        <f t="shared" ca="1" si="2"/>
        <v>26.970803086222084</v>
      </c>
      <c r="AE22" s="116">
        <f t="shared" ca="1" si="3"/>
        <v>26.972787655111681</v>
      </c>
    </row>
    <row r="23" spans="1:31" ht="13.2" customHeight="1">
      <c r="G23"/>
      <c r="H23"/>
      <c r="Z23" s="117">
        <v>10</v>
      </c>
      <c r="AA23" s="117">
        <f t="shared" si="1"/>
        <v>11.5</v>
      </c>
      <c r="AB23" s="98">
        <f t="shared" ca="1" si="0"/>
        <v>26.970418701535735</v>
      </c>
      <c r="AC23" s="116">
        <v>2</v>
      </c>
      <c r="AD23" s="116">
        <f t="shared" ca="1" si="2"/>
        <v>26.970803086222084</v>
      </c>
      <c r="AE23" s="116">
        <f t="shared" ca="1" si="3"/>
        <v>26.972787655111681</v>
      </c>
    </row>
    <row r="24" spans="1:31" ht="13.2" customHeight="1">
      <c r="G24"/>
      <c r="H24"/>
      <c r="Z24" s="117">
        <v>10.5</v>
      </c>
      <c r="AA24" s="117">
        <f t="shared" si="1"/>
        <v>12.074999999999999</v>
      </c>
      <c r="AB24" s="98">
        <f t="shared" ca="1" si="0"/>
        <v>26.970201025412457</v>
      </c>
      <c r="AC24" s="116">
        <v>3</v>
      </c>
      <c r="AD24" s="116">
        <f t="shared" ca="1" si="2"/>
        <v>26.970803086222084</v>
      </c>
      <c r="AE24" s="116">
        <f t="shared" ca="1" si="3"/>
        <v>26.972787655111681</v>
      </c>
    </row>
    <row r="25" spans="1:31">
      <c r="G25"/>
      <c r="H25"/>
      <c r="Z25" s="117">
        <v>11</v>
      </c>
      <c r="AA25" s="117">
        <f t="shared" si="1"/>
        <v>12.649999999999999</v>
      </c>
      <c r="AB25" s="98">
        <f t="shared" ca="1" si="0"/>
        <v>26.96998334928918</v>
      </c>
      <c r="AC25" s="116">
        <v>4</v>
      </c>
      <c r="AD25" s="116">
        <f t="shared" ca="1" si="2"/>
        <v>26.970803086222084</v>
      </c>
      <c r="AE25" s="116">
        <f t="shared" ca="1" si="3"/>
        <v>26.972787655111681</v>
      </c>
    </row>
    <row r="26" spans="1:31">
      <c r="G26"/>
      <c r="H26"/>
      <c r="Z26" s="117">
        <v>11.5</v>
      </c>
      <c r="AA26" s="117">
        <f t="shared" si="1"/>
        <v>13.225</v>
      </c>
      <c r="AB26" s="98">
        <f t="shared" ca="1" si="0"/>
        <v>26.969765673165902</v>
      </c>
      <c r="AC26" s="116">
        <v>5</v>
      </c>
      <c r="AD26" s="116">
        <f t="shared" ca="1" si="2"/>
        <v>26.970803086222084</v>
      </c>
      <c r="AE26" s="116">
        <f t="shared" ca="1" si="3"/>
        <v>26.972787655111681</v>
      </c>
    </row>
    <row r="27" spans="1:31">
      <c r="G27"/>
      <c r="H27"/>
      <c r="Z27" s="117">
        <v>12</v>
      </c>
      <c r="AA27" s="117">
        <f t="shared" si="1"/>
        <v>13.799999999999999</v>
      </c>
      <c r="AB27" s="98">
        <f t="shared" ca="1" si="0"/>
        <v>26.969547997042625</v>
      </c>
      <c r="AC27" s="116">
        <v>6</v>
      </c>
      <c r="AD27" s="116">
        <f t="shared" ca="1" si="2"/>
        <v>26.970803086222084</v>
      </c>
      <c r="AE27" s="116">
        <f t="shared" ca="1" si="3"/>
        <v>26.972787655111681</v>
      </c>
    </row>
    <row r="28" spans="1:31">
      <c r="G28"/>
      <c r="H28"/>
      <c r="J28" s="194" t="s">
        <v>88</v>
      </c>
      <c r="K28" s="194"/>
      <c r="L28" s="194"/>
      <c r="M28" s="194"/>
      <c r="N28" s="194"/>
      <c r="O28" s="194"/>
      <c r="P28" s="194"/>
      <c r="Z28" s="117">
        <v>12.5</v>
      </c>
      <c r="AA28" s="117">
        <f t="shared" si="1"/>
        <v>14.374999999999998</v>
      </c>
      <c r="AB28" s="98">
        <f t="shared" ca="1" si="0"/>
        <v>26.969330320919347</v>
      </c>
      <c r="AC28" s="116">
        <v>7</v>
      </c>
      <c r="AD28" s="116">
        <f t="shared" ca="1" si="2"/>
        <v>26.970803086222084</v>
      </c>
      <c r="AE28" s="116">
        <f t="shared" ca="1" si="3"/>
        <v>26.972787655111681</v>
      </c>
    </row>
    <row r="29" spans="1:31">
      <c r="A29"/>
      <c r="B29"/>
      <c r="C29"/>
      <c r="D29"/>
      <c r="E29"/>
      <c r="F29"/>
      <c r="G29"/>
      <c r="H29"/>
      <c r="J29" s="194"/>
      <c r="K29" s="194"/>
      <c r="L29" s="194"/>
      <c r="M29" s="194"/>
      <c r="N29" s="194"/>
      <c r="O29" s="194"/>
      <c r="P29" s="194"/>
      <c r="Z29" s="117">
        <v>13</v>
      </c>
      <c r="AA29" s="117">
        <f t="shared" si="1"/>
        <v>14.95</v>
      </c>
      <c r="AB29" s="98">
        <f t="shared" ca="1" si="0"/>
        <v>26.96911264479607</v>
      </c>
      <c r="AC29" s="116">
        <v>8</v>
      </c>
      <c r="AD29" s="116">
        <f t="shared" ca="1" si="2"/>
        <v>26.970803086222084</v>
      </c>
      <c r="AE29" s="116">
        <f t="shared" ca="1" si="3"/>
        <v>26.972787655111681</v>
      </c>
    </row>
    <row r="30" spans="1:31">
      <c r="A30"/>
      <c r="B30"/>
      <c r="C30"/>
      <c r="D30"/>
      <c r="E30"/>
      <c r="F30"/>
      <c r="G30"/>
      <c r="H30"/>
      <c r="J30" s="194"/>
      <c r="K30" s="194"/>
      <c r="L30" s="194"/>
      <c r="M30" s="194"/>
      <c r="N30" s="194"/>
      <c r="O30" s="194"/>
      <c r="P30" s="194"/>
      <c r="Z30" s="117">
        <v>13.5</v>
      </c>
      <c r="AA30" s="117">
        <f t="shared" si="1"/>
        <v>15.524999999999999</v>
      </c>
      <c r="AB30" s="98">
        <f t="shared" ca="1" si="0"/>
        <v>26.968894968672792</v>
      </c>
      <c r="AC30" s="116">
        <v>9</v>
      </c>
      <c r="AD30" s="116">
        <f t="shared" ca="1" si="2"/>
        <v>26.970803086222084</v>
      </c>
      <c r="AE30" s="116">
        <f t="shared" ca="1" si="3"/>
        <v>26.972787655111681</v>
      </c>
    </row>
    <row r="31" spans="1:31">
      <c r="J31" s="194"/>
      <c r="K31" s="194"/>
      <c r="L31" s="194"/>
      <c r="M31" s="194"/>
      <c r="N31" s="194"/>
      <c r="O31" s="194"/>
      <c r="P31" s="194"/>
      <c r="Z31" s="117">
        <v>14</v>
      </c>
      <c r="AA31" s="117">
        <f t="shared" si="1"/>
        <v>16.099999999999998</v>
      </c>
      <c r="AB31" s="98">
        <f t="shared" ca="1" si="0"/>
        <v>26.968677292549515</v>
      </c>
      <c r="AC31" s="116">
        <v>10</v>
      </c>
      <c r="AD31" s="116">
        <f t="shared" ca="1" si="2"/>
        <v>26.970803086222084</v>
      </c>
      <c r="AE31" s="116">
        <f t="shared" ca="1" si="3"/>
        <v>26.972787655111681</v>
      </c>
    </row>
    <row r="32" spans="1:31">
      <c r="J32" s="194"/>
      <c r="K32" s="194"/>
      <c r="L32" s="194"/>
      <c r="M32" s="194"/>
      <c r="N32" s="194"/>
      <c r="O32" s="194"/>
      <c r="P32" s="194"/>
      <c r="Z32" s="117">
        <v>14.5</v>
      </c>
      <c r="AA32" s="117">
        <f t="shared" si="1"/>
        <v>16.674999999999997</v>
      </c>
      <c r="AB32" s="98">
        <f t="shared" ca="1" si="0"/>
        <v>26.968459616426237</v>
      </c>
      <c r="AC32" s="116">
        <v>11</v>
      </c>
      <c r="AD32" s="116">
        <f t="shared" ca="1" si="2"/>
        <v>26.970803086222084</v>
      </c>
      <c r="AE32" s="116">
        <f t="shared" ca="1" si="3"/>
        <v>26.972787655111681</v>
      </c>
    </row>
    <row r="33" spans="26:31">
      <c r="Z33" s="117">
        <v>15</v>
      </c>
      <c r="AA33" s="117">
        <f t="shared" si="1"/>
        <v>17.25</v>
      </c>
      <c r="AB33" s="98">
        <f t="shared" ca="1" si="0"/>
        <v>26.96824194030296</v>
      </c>
      <c r="AC33" s="116">
        <v>12</v>
      </c>
      <c r="AD33" s="116">
        <f t="shared" ca="1" si="2"/>
        <v>26.970803086222084</v>
      </c>
      <c r="AE33" s="116">
        <f t="shared" ca="1" si="3"/>
        <v>26.972787655111681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26.968024264179682</v>
      </c>
      <c r="AC34" s="116">
        <v>13</v>
      </c>
      <c r="AD34" s="116">
        <f t="shared" ca="1" si="2"/>
        <v>26.970803086222084</v>
      </c>
      <c r="AE34" s="116">
        <f t="shared" ca="1" si="3"/>
        <v>26.972787655111681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26.967806588056408</v>
      </c>
      <c r="AC35" s="116">
        <v>14</v>
      </c>
      <c r="AD35" s="116">
        <f t="shared" ca="1" si="2"/>
        <v>26.970803086222084</v>
      </c>
      <c r="AE35" s="116">
        <f t="shared" ca="1" si="3"/>
        <v>26.972787655111681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26.967588911933131</v>
      </c>
      <c r="AC36" s="116">
        <v>15</v>
      </c>
      <c r="AD36" s="116">
        <f t="shared" ca="1" si="2"/>
        <v>26.970803086222084</v>
      </c>
      <c r="AE36" s="116">
        <f t="shared" ca="1" si="3"/>
        <v>26.972787655111681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26.967371235809853</v>
      </c>
      <c r="AC37" s="116">
        <v>16</v>
      </c>
      <c r="AD37" s="116">
        <f t="shared" ca="1" si="2"/>
        <v>26.970803086222084</v>
      </c>
      <c r="AE37" s="116">
        <f t="shared" ca="1" si="3"/>
        <v>26.972787655111681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26.967153559686576</v>
      </c>
      <c r="AC38" s="116">
        <v>17</v>
      </c>
      <c r="AD38" s="116">
        <f t="shared" ca="1" si="2"/>
        <v>26.970803086222084</v>
      </c>
      <c r="AE38" s="116">
        <f t="shared" ca="1" si="3"/>
        <v>26.972787655111681</v>
      </c>
    </row>
    <row r="39" spans="26:31">
      <c r="Z39" s="117">
        <v>18</v>
      </c>
      <c r="AA39" s="117">
        <f t="shared" si="1"/>
        <v>20.7</v>
      </c>
      <c r="AB39" s="98">
        <f t="shared" ca="1" si="0"/>
        <v>26.966935883563298</v>
      </c>
      <c r="AC39" s="116">
        <v>18</v>
      </c>
      <c r="AD39" s="116">
        <f t="shared" ca="1" si="2"/>
        <v>26.970803086222084</v>
      </c>
      <c r="AE39" s="116">
        <f t="shared" ca="1" si="3"/>
        <v>26.972787655111681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26.966718207440021</v>
      </c>
      <c r="AC40" s="116">
        <v>19</v>
      </c>
      <c r="AD40" s="116">
        <f t="shared" ca="1" si="2"/>
        <v>26.970803086222084</v>
      </c>
      <c r="AE40" s="116">
        <f t="shared" ca="1" si="3"/>
        <v>26.972787655111681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26.966500531316743</v>
      </c>
      <c r="AC41" s="116">
        <v>20</v>
      </c>
      <c r="AD41" s="116">
        <f t="shared" ca="1" si="2"/>
        <v>26.970803086222084</v>
      </c>
      <c r="AE41" s="116">
        <f t="shared" ca="1" si="3"/>
        <v>26.972787655111681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26.966282855193466</v>
      </c>
    </row>
    <row r="43" spans="26:31">
      <c r="Z43" s="117">
        <v>20</v>
      </c>
      <c r="AA43" s="117">
        <f t="shared" si="1"/>
        <v>23</v>
      </c>
      <c r="AB43" s="98">
        <f t="shared" ca="1" si="0"/>
        <v>26.966065179070188</v>
      </c>
    </row>
    <row r="61" spans="1:2">
      <c r="A61" s="188" t="s">
        <v>127</v>
      </c>
      <c r="B61" s="188"/>
    </row>
    <row r="62" spans="1:2">
      <c r="A62" s="91" t="s">
        <v>108</v>
      </c>
      <c r="B62" s="82" t="s">
        <v>109</v>
      </c>
    </row>
  </sheetData>
  <mergeCells count="12">
    <mergeCell ref="Z1:AB1"/>
    <mergeCell ref="Y2:Y3"/>
    <mergeCell ref="J28:P32"/>
    <mergeCell ref="E16:E17"/>
    <mergeCell ref="F16:F17"/>
    <mergeCell ref="E20:E21"/>
    <mergeCell ref="F20:F21"/>
    <mergeCell ref="A1:D2"/>
    <mergeCell ref="A6:D7"/>
    <mergeCell ref="A8:B8"/>
    <mergeCell ref="D8:E8"/>
    <mergeCell ref="A61:B6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8985" r:id="rId3" name="Scroll Bar 9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986" r:id="rId4" name="Scroll Bar 10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E62"/>
  <sheetViews>
    <sheetView workbookViewId="0">
      <selection activeCell="E11" sqref="E11"/>
    </sheetView>
  </sheetViews>
  <sheetFormatPr defaultRowHeight="13.2"/>
  <cols>
    <col min="1" max="1" width="10.88671875" style="114" bestFit="1" customWidth="1"/>
    <col min="2" max="2" width="11.33203125" style="114" customWidth="1"/>
    <col min="3" max="4" width="8.88671875" style="114"/>
    <col min="5" max="5" width="11.109375" style="114" bestFit="1" customWidth="1"/>
    <col min="6" max="28" width="8.88671875" style="114"/>
    <col min="29" max="29" width="19.88671875" style="114" customWidth="1"/>
    <col min="30" max="31" width="8.88671875" style="114" customWidth="1"/>
    <col min="32" max="16384" width="8.88671875" style="114"/>
  </cols>
  <sheetData>
    <row r="1" spans="1:30" ht="17.399999999999999" customHeight="1">
      <c r="A1" s="189" t="s">
        <v>85</v>
      </c>
      <c r="B1" s="189"/>
      <c r="C1" s="189"/>
      <c r="D1" s="189"/>
      <c r="F1" s="111"/>
      <c r="G1" s="111"/>
      <c r="W1" s="113" t="s">
        <v>75</v>
      </c>
      <c r="X1" s="113" t="s">
        <v>76</v>
      </c>
      <c r="Y1" s="113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F2" s="111"/>
      <c r="G2" s="111"/>
      <c r="H2" s="111"/>
      <c r="I2" s="111"/>
      <c r="J2" s="111"/>
      <c r="K2" s="111"/>
      <c r="L2" s="111"/>
      <c r="W2" s="114">
        <v>0</v>
      </c>
      <c r="X2" s="114">
        <f>D$4*W2+C$4</f>
        <v>26.96899933057086</v>
      </c>
      <c r="Y2" s="193">
        <f ca="1">SLOPE(X2:X3,W2:W3)</f>
        <v>-4.1716933300582322E-3</v>
      </c>
      <c r="Z2" s="113" t="s">
        <v>75</v>
      </c>
      <c r="AA2" s="114" t="s">
        <v>78</v>
      </c>
      <c r="AB2" s="114" t="s">
        <v>76</v>
      </c>
    </row>
    <row r="3" spans="1:30" ht="39.6" customHeight="1">
      <c r="A3" s="105" t="s">
        <v>137</v>
      </c>
      <c r="B3" s="114" t="s">
        <v>132</v>
      </c>
      <c r="C3" s="114" t="s">
        <v>133</v>
      </c>
      <c r="D3" s="113" t="s">
        <v>134</v>
      </c>
      <c r="G3" s="111"/>
      <c r="T3" s="127"/>
      <c r="U3" s="128"/>
      <c r="V3" s="105"/>
      <c r="W3" s="114">
        <f ca="1">INDIRECT("data!"&amp;A62&amp;A4)</f>
        <v>2.8284271247461903</v>
      </c>
      <c r="X3" s="98">
        <f ca="1">INDIRECT("data!"&amp;$B$62&amp;A4)</f>
        <v>26.9572</v>
      </c>
      <c r="Y3" s="193"/>
      <c r="Z3" s="114">
        <v>0</v>
      </c>
      <c r="AA3" s="114">
        <v>0</v>
      </c>
      <c r="AB3" s="98">
        <f t="shared" ref="AB3:AB43" ca="1" si="0">Y$2*Z3+C$4</f>
        <v>26.96899933057086</v>
      </c>
    </row>
    <row r="4" spans="1:30">
      <c r="A4" s="118">
        <v>17</v>
      </c>
      <c r="B4" s="119">
        <v>0.99243175535272854</v>
      </c>
      <c r="C4" s="98">
        <v>26.96899933057086</v>
      </c>
      <c r="D4" s="111">
        <v>-4.3329374348910531E-3</v>
      </c>
      <c r="G4" s="111"/>
      <c r="U4" s="98"/>
      <c r="V4" s="98"/>
      <c r="W4" s="98"/>
      <c r="Z4" s="114">
        <v>0.5</v>
      </c>
      <c r="AA4" s="114">
        <f t="shared" ref="AA4:AA43" si="1">Z4*1.15</f>
        <v>0.57499999999999996</v>
      </c>
      <c r="AB4" s="98">
        <f t="shared" ca="1" si="0"/>
        <v>26.966913483905831</v>
      </c>
    </row>
    <row r="5" spans="1:30">
      <c r="G5" s="111"/>
      <c r="U5" s="98"/>
      <c r="V5" s="98"/>
      <c r="W5" s="98"/>
      <c r="Z5" s="114">
        <v>1</v>
      </c>
      <c r="AA5" s="114">
        <f t="shared" si="1"/>
        <v>1.1499999999999999</v>
      </c>
      <c r="AB5" s="98">
        <f t="shared" ca="1" si="0"/>
        <v>26.964827637240802</v>
      </c>
    </row>
    <row r="6" spans="1:30">
      <c r="A6" s="189" t="s">
        <v>86</v>
      </c>
      <c r="B6" s="189"/>
      <c r="C6" s="189"/>
      <c r="D6" s="189"/>
      <c r="F6" s="111"/>
      <c r="G6" s="111"/>
      <c r="H6" s="104"/>
      <c r="U6" s="98"/>
      <c r="V6" s="98"/>
      <c r="W6" s="98"/>
      <c r="Z6" s="114">
        <v>1.5</v>
      </c>
      <c r="AA6" s="114">
        <f t="shared" si="1"/>
        <v>1.7249999999999999</v>
      </c>
      <c r="AB6" s="98">
        <f t="shared" ca="1" si="0"/>
        <v>26.962741790575773</v>
      </c>
      <c r="AD6" s="111"/>
    </row>
    <row r="7" spans="1:30">
      <c r="A7" s="189"/>
      <c r="B7" s="189"/>
      <c r="C7" s="189"/>
      <c r="D7" s="189"/>
      <c r="E7" s="111"/>
      <c r="F7" s="111"/>
      <c r="G7" s="111"/>
      <c r="U7" s="98"/>
      <c r="V7" s="98"/>
      <c r="W7" s="98"/>
      <c r="Z7" s="114">
        <v>2</v>
      </c>
      <c r="AA7" s="114">
        <f t="shared" si="1"/>
        <v>2.2999999999999998</v>
      </c>
      <c r="AB7" s="98">
        <f t="shared" ca="1" si="0"/>
        <v>26.960655943910744</v>
      </c>
      <c r="AD7" s="111"/>
    </row>
    <row r="8" spans="1:30" ht="15.6">
      <c r="A8" s="190" t="s">
        <v>89</v>
      </c>
      <c r="B8" s="190"/>
      <c r="C8" s="111"/>
      <c r="D8" s="191" t="s">
        <v>77</v>
      </c>
      <c r="E8" s="191"/>
      <c r="G8" s="111"/>
      <c r="U8" s="98"/>
      <c r="V8" s="98"/>
      <c r="W8" s="98"/>
      <c r="Z8" s="114">
        <v>2.5</v>
      </c>
      <c r="AA8" s="114">
        <f t="shared" si="1"/>
        <v>2.875</v>
      </c>
      <c r="AB8" s="98">
        <f t="shared" ca="1" si="0"/>
        <v>26.958570097245715</v>
      </c>
      <c r="AD8" s="111"/>
    </row>
    <row r="9" spans="1:30" ht="16.2" thickBot="1">
      <c r="A9" s="113" t="s">
        <v>80</v>
      </c>
      <c r="B9" s="113" t="s">
        <v>79</v>
      </c>
      <c r="D9" s="130">
        <v>0.1</v>
      </c>
      <c r="E9" s="129">
        <v>1E-4</v>
      </c>
      <c r="G9" s="111"/>
      <c r="H9" s="113"/>
      <c r="U9" s="98"/>
      <c r="V9" s="98"/>
      <c r="W9" s="98"/>
      <c r="Z9" s="114">
        <v>3</v>
      </c>
      <c r="AA9" s="114">
        <f t="shared" si="1"/>
        <v>3.4499999999999997</v>
      </c>
      <c r="AB9" s="98">
        <f t="shared" ca="1" si="0"/>
        <v>26.956484250580687</v>
      </c>
      <c r="AD9" s="111"/>
    </row>
    <row r="10" spans="1:30" ht="16.8" customHeight="1">
      <c r="A10" s="114">
        <f ca="1">D13</f>
        <v>4.0284271247461909</v>
      </c>
      <c r="B10" s="98">
        <f ca="1">E13</f>
        <v>26.954500000000003</v>
      </c>
      <c r="C10" s="111"/>
      <c r="D10" s="120" t="s">
        <v>80</v>
      </c>
      <c r="E10" s="120" t="s">
        <v>79</v>
      </c>
      <c r="G10" s="111"/>
      <c r="U10" s="98"/>
      <c r="V10" s="98"/>
      <c r="W10" s="98"/>
      <c r="Z10" s="114">
        <v>3.5</v>
      </c>
      <c r="AA10" s="114">
        <f t="shared" si="1"/>
        <v>4.0249999999999995</v>
      </c>
      <c r="AB10" s="98">
        <f t="shared" ca="1" si="0"/>
        <v>26.954398403915658</v>
      </c>
      <c r="AD10" s="111"/>
    </row>
    <row r="11" spans="1:30" ht="13.2" customHeight="1">
      <c r="D11" s="5">
        <f ca="1">INDIRECT("data!"&amp;$A$62&amp;A4)</f>
        <v>2.8284271247461903</v>
      </c>
      <c r="E11" s="5">
        <f ca="1">INDIRECT("data!"&amp;$B$62&amp;A4+2)</f>
        <v>26.953600000000002</v>
      </c>
      <c r="F11" s="113" t="s">
        <v>94</v>
      </c>
      <c r="G11" s="111"/>
      <c r="U11" s="98"/>
      <c r="V11" s="98"/>
      <c r="W11" s="98"/>
      <c r="Z11" s="114">
        <v>4</v>
      </c>
      <c r="AA11" s="114">
        <f t="shared" si="1"/>
        <v>4.5999999999999996</v>
      </c>
      <c r="AB11" s="98">
        <f t="shared" ca="1" si="0"/>
        <v>26.952312557250625</v>
      </c>
      <c r="AD11" s="111"/>
    </row>
    <row r="12" spans="1:30" ht="13.2" customHeight="1">
      <c r="D12" s="5">
        <v>12</v>
      </c>
      <c r="E12" s="5">
        <v>9</v>
      </c>
      <c r="G12" s="111"/>
      <c r="H12" s="7"/>
      <c r="U12" s="98"/>
      <c r="V12" s="98"/>
      <c r="W12" s="98"/>
      <c r="Z12" s="114">
        <v>4.5</v>
      </c>
      <c r="AA12" s="114">
        <f t="shared" si="1"/>
        <v>5.1749999999999998</v>
      </c>
      <c r="AB12" s="98">
        <f t="shared" ca="1" si="0"/>
        <v>26.950226710585596</v>
      </c>
      <c r="AD12" s="111"/>
    </row>
    <row r="13" spans="1:30">
      <c r="D13" s="5">
        <f ca="1">D12*D9+D11</f>
        <v>4.0284271247461909</v>
      </c>
      <c r="E13" s="5">
        <f ca="1">E12*E9+E11</f>
        <v>26.954500000000003</v>
      </c>
      <c r="G13" s="7"/>
      <c r="H13" s="7"/>
      <c r="U13" s="98"/>
      <c r="V13" s="98"/>
      <c r="W13" s="98"/>
      <c r="Z13" s="114">
        <v>5</v>
      </c>
      <c r="AA13" s="114">
        <f t="shared" si="1"/>
        <v>5.75</v>
      </c>
      <c r="AB13" s="98">
        <f t="shared" ca="1" si="0"/>
        <v>26.948140863920568</v>
      </c>
      <c r="AD13" s="111"/>
    </row>
    <row r="14" spans="1:30">
      <c r="A14" s="196"/>
      <c r="B14" s="196"/>
      <c r="F14"/>
      <c r="G14"/>
      <c r="H14" s="7"/>
      <c r="U14" s="98"/>
      <c r="V14" s="98"/>
      <c r="W14" s="98"/>
      <c r="Z14" s="114">
        <v>5.5</v>
      </c>
      <c r="AA14" s="114">
        <f t="shared" si="1"/>
        <v>6.3249999999999993</v>
      </c>
      <c r="AB14" s="98">
        <f t="shared" ca="1" si="0"/>
        <v>26.946055017255539</v>
      </c>
      <c r="AD14" s="111"/>
    </row>
    <row r="15" spans="1:30" ht="52.8">
      <c r="A15" s="5"/>
      <c r="B15" s="123" t="s">
        <v>138</v>
      </c>
      <c r="C15" s="29" t="s">
        <v>75</v>
      </c>
      <c r="D15" s="29" t="s">
        <v>76</v>
      </c>
      <c r="E15" s="124" t="s">
        <v>126</v>
      </c>
      <c r="F15" s="29"/>
      <c r="G15" s="115"/>
      <c r="U15" s="98"/>
      <c r="V15" s="98"/>
      <c r="W15" s="98"/>
      <c r="Z15" s="114">
        <v>6</v>
      </c>
      <c r="AA15" s="114">
        <f t="shared" si="1"/>
        <v>6.8999999999999995</v>
      </c>
      <c r="AB15" s="98">
        <f t="shared" ca="1" si="0"/>
        <v>26.94396917059051</v>
      </c>
      <c r="AD15" s="111"/>
    </row>
    <row r="16" spans="1:30" ht="15.6">
      <c r="A16" s="29" t="s">
        <v>81</v>
      </c>
      <c r="B16" s="24">
        <f ca="1">B17-1</f>
        <v>19</v>
      </c>
      <c r="C16" s="125">
        <f ca="1">INDIRECT("data!"&amp;$A$62&amp;B16)</f>
        <v>5.4772255750516612</v>
      </c>
      <c r="D16" s="125">
        <f ca="1">INDIRECT("data!"&amp;$B$62&amp;B16)</f>
        <v>26.953600000000002</v>
      </c>
      <c r="E16" s="187">
        <f ca="1">FORECAST(A17,C16:C17,D16:D17)</f>
        <v>7.3750588286202401</v>
      </c>
      <c r="F16" s="195" t="s">
        <v>93</v>
      </c>
      <c r="G16"/>
      <c r="U16" s="98"/>
      <c r="V16" s="98"/>
      <c r="W16" s="98"/>
      <c r="Z16" s="114">
        <v>6.5</v>
      </c>
      <c r="AA16" s="114">
        <f t="shared" si="1"/>
        <v>7.4749999999999996</v>
      </c>
      <c r="AB16" s="98">
        <f t="shared" ca="1" si="0"/>
        <v>26.941883323925481</v>
      </c>
      <c r="AD16" s="111"/>
    </row>
    <row r="17" spans="1:31">
      <c r="A17" s="126">
        <f ca="1">B10+(1/9)*(B10-C4)</f>
        <v>26.952888963269906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20</v>
      </c>
      <c r="C17" s="125">
        <f ca="1">INDIRECT("data!"&amp;$A$62&amp;B17)</f>
        <v>7.745966692414834</v>
      </c>
      <c r="D17" s="125">
        <f ca="1">INDIRECT("data!"&amp;$B$62&amp;B17)</f>
        <v>26.952750000000002</v>
      </c>
      <c r="E17" s="187"/>
      <c r="F17" s="187"/>
      <c r="G17"/>
      <c r="U17" s="98"/>
      <c r="V17" s="98"/>
      <c r="W17" s="98"/>
      <c r="Z17" s="114">
        <v>7</v>
      </c>
      <c r="AA17" s="114">
        <f t="shared" si="1"/>
        <v>8.0499999999999989</v>
      </c>
      <c r="AB17" s="98">
        <f t="shared" ca="1" si="0"/>
        <v>26.939797477260452</v>
      </c>
      <c r="AD17" s="111"/>
    </row>
    <row r="18" spans="1:31">
      <c r="A18" s="5"/>
      <c r="B18" s="24"/>
      <c r="C18" s="5"/>
      <c r="D18" s="5"/>
      <c r="E18" s="5"/>
      <c r="F18" s="5"/>
      <c r="G18"/>
      <c r="U18" s="98"/>
      <c r="V18" s="98"/>
      <c r="W18" s="98"/>
      <c r="Z18" s="114">
        <v>7.5</v>
      </c>
      <c r="AA18" s="114">
        <f t="shared" si="1"/>
        <v>8.625</v>
      </c>
      <c r="AB18" s="98">
        <f t="shared" ca="1" si="0"/>
        <v>26.937711630595423</v>
      </c>
      <c r="AD18" s="111"/>
    </row>
    <row r="19" spans="1:31">
      <c r="A19" s="5"/>
      <c r="B19" s="24"/>
      <c r="C19" s="5"/>
      <c r="D19" s="5"/>
      <c r="E19" s="5"/>
      <c r="F19" s="5"/>
      <c r="G19"/>
      <c r="Z19" s="114">
        <v>8</v>
      </c>
      <c r="AA19" s="114">
        <f t="shared" si="1"/>
        <v>9.1999999999999993</v>
      </c>
      <c r="AB19" s="98">
        <f t="shared" ca="1" si="0"/>
        <v>26.935625783930394</v>
      </c>
    </row>
    <row r="20" spans="1:31" ht="15.6">
      <c r="A20" s="29" t="s">
        <v>82</v>
      </c>
      <c r="B20" s="24">
        <f ca="1">B21-1</f>
        <v>15</v>
      </c>
      <c r="C20" s="125">
        <f ca="1">INDIRECT("data!"&amp;$A$62&amp;B20)</f>
        <v>1.4142135623730951</v>
      </c>
      <c r="D20" s="125">
        <f ca="1">INDIRECT("data!"&amp;$B$62&amp;B20)</f>
        <v>26.962499999999999</v>
      </c>
      <c r="E20" s="187">
        <f ca="1">FORECAST(A21,C20:C21,D20:D21)</f>
        <v>1.810473402799289</v>
      </c>
      <c r="F20" s="195" t="s">
        <v>92</v>
      </c>
      <c r="G20"/>
      <c r="Z20" s="114">
        <v>8.5</v>
      </c>
      <c r="AA20" s="114">
        <f t="shared" si="1"/>
        <v>9.7749999999999986</v>
      </c>
      <c r="AB20" s="98">
        <f t="shared" ca="1" si="0"/>
        <v>26.933539937265365</v>
      </c>
      <c r="AD20" s="121" t="s">
        <v>83</v>
      </c>
      <c r="AE20" s="121" t="s">
        <v>84</v>
      </c>
    </row>
    <row r="21" spans="1:31">
      <c r="A21" s="126">
        <f ca="1">A17-(5/9)*(B10-C4)</f>
        <v>26.960944146920383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16</v>
      </c>
      <c r="C21" s="125">
        <f ca="1">INDIRECT("data!"&amp;$A$62&amp;B21)</f>
        <v>2</v>
      </c>
      <c r="D21" s="125">
        <f ca="1">INDIRECT("data!"&amp;$B$62&amp;B21)</f>
        <v>26.9602</v>
      </c>
      <c r="E21" s="187"/>
      <c r="F21" s="195"/>
      <c r="G21"/>
      <c r="U21" s="98"/>
      <c r="Z21" s="114">
        <v>9</v>
      </c>
      <c r="AA21" s="114">
        <f t="shared" si="1"/>
        <v>10.35</v>
      </c>
      <c r="AB21" s="98">
        <f t="shared" ca="1" si="0"/>
        <v>26.931454090600337</v>
      </c>
      <c r="AC21" s="113">
        <v>0</v>
      </c>
      <c r="AD21" s="113">
        <f t="shared" ref="AD21:AD41" ca="1" si="2">A$17</f>
        <v>26.952888963269906</v>
      </c>
      <c r="AE21" s="113">
        <f t="shared" ref="AE21:AE41" ca="1" si="3">A$21</f>
        <v>26.960944146920383</v>
      </c>
    </row>
    <row r="22" spans="1:31">
      <c r="G22" s="111"/>
      <c r="H22" s="111"/>
      <c r="Z22" s="114">
        <v>9.5</v>
      </c>
      <c r="AA22" s="114">
        <f t="shared" si="1"/>
        <v>10.924999999999999</v>
      </c>
      <c r="AB22" s="98">
        <f t="shared" ca="1" si="0"/>
        <v>26.929368243935308</v>
      </c>
      <c r="AC22" s="113">
        <v>1</v>
      </c>
      <c r="AD22" s="113">
        <f t="shared" ca="1" si="2"/>
        <v>26.952888963269906</v>
      </c>
      <c r="AE22" s="113">
        <f t="shared" ca="1" si="3"/>
        <v>26.960944146920383</v>
      </c>
    </row>
    <row r="23" spans="1:31" ht="13.2" customHeight="1">
      <c r="G23" s="111"/>
      <c r="H23" s="111"/>
      <c r="Z23" s="114">
        <v>10</v>
      </c>
      <c r="AA23" s="114">
        <f t="shared" si="1"/>
        <v>11.5</v>
      </c>
      <c r="AB23" s="98">
        <f t="shared" ca="1" si="0"/>
        <v>26.927282397270279</v>
      </c>
      <c r="AC23" s="113">
        <v>2</v>
      </c>
      <c r="AD23" s="113">
        <f t="shared" ca="1" si="2"/>
        <v>26.952888963269906</v>
      </c>
      <c r="AE23" s="113">
        <f t="shared" ca="1" si="3"/>
        <v>26.960944146920383</v>
      </c>
    </row>
    <row r="24" spans="1:31" ht="13.2" customHeight="1">
      <c r="G24" s="111"/>
      <c r="H24" s="111"/>
      <c r="Z24" s="114">
        <v>10.5</v>
      </c>
      <c r="AA24" s="114">
        <f t="shared" si="1"/>
        <v>12.074999999999999</v>
      </c>
      <c r="AB24" s="98">
        <f t="shared" ca="1" si="0"/>
        <v>26.92519655060525</v>
      </c>
      <c r="AC24" s="113">
        <v>3</v>
      </c>
      <c r="AD24" s="113">
        <f t="shared" ca="1" si="2"/>
        <v>26.952888963269906</v>
      </c>
      <c r="AE24" s="113">
        <f t="shared" ca="1" si="3"/>
        <v>26.960944146920383</v>
      </c>
    </row>
    <row r="25" spans="1:31">
      <c r="G25" s="111"/>
      <c r="H25" s="111"/>
      <c r="Z25" s="114">
        <v>11</v>
      </c>
      <c r="AA25" s="114">
        <f t="shared" si="1"/>
        <v>12.649999999999999</v>
      </c>
      <c r="AB25" s="98">
        <f t="shared" ca="1" si="0"/>
        <v>26.923110703940218</v>
      </c>
      <c r="AC25" s="113">
        <v>4</v>
      </c>
      <c r="AD25" s="113">
        <f t="shared" ca="1" si="2"/>
        <v>26.952888963269906</v>
      </c>
      <c r="AE25" s="113">
        <f t="shared" ca="1" si="3"/>
        <v>26.960944146920383</v>
      </c>
    </row>
    <row r="26" spans="1:31">
      <c r="G26" s="111"/>
      <c r="H26" s="111"/>
      <c r="Z26" s="114">
        <v>11.5</v>
      </c>
      <c r="AA26" s="114">
        <f t="shared" si="1"/>
        <v>13.225</v>
      </c>
      <c r="AB26" s="98">
        <f t="shared" ca="1" si="0"/>
        <v>26.921024857275189</v>
      </c>
      <c r="AC26" s="113">
        <v>5</v>
      </c>
      <c r="AD26" s="113">
        <f t="shared" ca="1" si="2"/>
        <v>26.952888963269906</v>
      </c>
      <c r="AE26" s="113">
        <f t="shared" ca="1" si="3"/>
        <v>26.960944146920383</v>
      </c>
    </row>
    <row r="27" spans="1:31">
      <c r="G27" s="111"/>
      <c r="H27" s="111"/>
      <c r="Z27" s="114">
        <v>12</v>
      </c>
      <c r="AA27" s="114">
        <f t="shared" si="1"/>
        <v>13.799999999999999</v>
      </c>
      <c r="AB27" s="98">
        <f t="shared" ca="1" si="0"/>
        <v>26.91893901061016</v>
      </c>
      <c r="AC27" s="113">
        <v>6</v>
      </c>
      <c r="AD27" s="113">
        <f t="shared" ca="1" si="2"/>
        <v>26.952888963269906</v>
      </c>
      <c r="AE27" s="113">
        <f t="shared" ca="1" si="3"/>
        <v>26.960944146920383</v>
      </c>
    </row>
    <row r="28" spans="1:31" ht="13.2" customHeight="1">
      <c r="G28" s="111"/>
      <c r="H28" s="111"/>
      <c r="J28" s="194" t="s">
        <v>88</v>
      </c>
      <c r="K28" s="194"/>
      <c r="L28" s="194"/>
      <c r="M28" s="194"/>
      <c r="N28" s="194"/>
      <c r="O28" s="194"/>
      <c r="P28" s="112"/>
      <c r="Z28" s="114">
        <v>12.5</v>
      </c>
      <c r="AA28" s="114">
        <f t="shared" si="1"/>
        <v>14.374999999999998</v>
      </c>
      <c r="AB28" s="98">
        <f t="shared" ca="1" si="0"/>
        <v>26.916853163945131</v>
      </c>
      <c r="AC28" s="113">
        <v>7</v>
      </c>
      <c r="AD28" s="113">
        <f t="shared" ca="1" si="2"/>
        <v>26.952888963269906</v>
      </c>
      <c r="AE28" s="113">
        <f t="shared" ca="1" si="3"/>
        <v>26.960944146920383</v>
      </c>
    </row>
    <row r="29" spans="1:31" ht="13.2" customHeight="1">
      <c r="A29" s="111"/>
      <c r="B29" s="111"/>
      <c r="C29" s="111"/>
      <c r="D29" s="111"/>
      <c r="E29" s="111"/>
      <c r="F29" s="111"/>
      <c r="G29" s="111"/>
      <c r="H29" s="111"/>
      <c r="J29" s="194"/>
      <c r="K29" s="194"/>
      <c r="L29" s="194"/>
      <c r="M29" s="194"/>
      <c r="N29" s="194"/>
      <c r="O29" s="194"/>
      <c r="P29" s="112"/>
      <c r="Z29" s="114">
        <v>13</v>
      </c>
      <c r="AA29" s="114">
        <f t="shared" si="1"/>
        <v>14.95</v>
      </c>
      <c r="AB29" s="98">
        <f t="shared" ca="1" si="0"/>
        <v>26.914767317280102</v>
      </c>
      <c r="AC29" s="113">
        <v>8</v>
      </c>
      <c r="AD29" s="113">
        <f t="shared" ca="1" si="2"/>
        <v>26.952888963269906</v>
      </c>
      <c r="AE29" s="113">
        <f t="shared" ca="1" si="3"/>
        <v>26.960944146920383</v>
      </c>
    </row>
    <row r="30" spans="1:31" ht="13.2" customHeight="1">
      <c r="A30" s="111"/>
      <c r="B30" s="111"/>
      <c r="C30" s="111"/>
      <c r="D30" s="111"/>
      <c r="E30" s="111"/>
      <c r="F30" s="111"/>
      <c r="G30" s="111"/>
      <c r="H30" s="111"/>
      <c r="J30" s="194"/>
      <c r="K30" s="194"/>
      <c r="L30" s="194"/>
      <c r="M30" s="194"/>
      <c r="N30" s="194"/>
      <c r="O30" s="194"/>
      <c r="P30" s="112"/>
      <c r="Z30" s="114">
        <v>13.5</v>
      </c>
      <c r="AA30" s="114">
        <f t="shared" si="1"/>
        <v>15.524999999999999</v>
      </c>
      <c r="AB30" s="98">
        <f t="shared" ca="1" si="0"/>
        <v>26.912681470615073</v>
      </c>
      <c r="AC30" s="113">
        <v>9</v>
      </c>
      <c r="AD30" s="113">
        <f t="shared" ca="1" si="2"/>
        <v>26.952888963269906</v>
      </c>
      <c r="AE30" s="113">
        <f t="shared" ca="1" si="3"/>
        <v>26.960944146920383</v>
      </c>
    </row>
    <row r="31" spans="1:31" ht="13.8">
      <c r="J31" s="194"/>
      <c r="K31" s="194"/>
      <c r="L31" s="194"/>
      <c r="M31" s="194"/>
      <c r="N31" s="194"/>
      <c r="O31" s="194"/>
      <c r="P31" s="112"/>
      <c r="Z31" s="114">
        <v>14</v>
      </c>
      <c r="AA31" s="114">
        <f t="shared" si="1"/>
        <v>16.099999999999998</v>
      </c>
      <c r="AB31" s="98">
        <f t="shared" ca="1" si="0"/>
        <v>26.910595623950044</v>
      </c>
      <c r="AC31" s="113">
        <v>10</v>
      </c>
      <c r="AD31" s="113">
        <f t="shared" ca="1" si="2"/>
        <v>26.952888963269906</v>
      </c>
      <c r="AE31" s="113">
        <f t="shared" ca="1" si="3"/>
        <v>26.960944146920383</v>
      </c>
    </row>
    <row r="32" spans="1:31" ht="13.2" customHeight="1">
      <c r="G32" s="112"/>
      <c r="H32" s="112"/>
      <c r="I32" s="112"/>
      <c r="J32" s="112"/>
      <c r="K32" s="112"/>
      <c r="L32" s="112"/>
      <c r="M32" s="112"/>
      <c r="Z32" s="114">
        <v>14.5</v>
      </c>
      <c r="AA32" s="114">
        <f t="shared" si="1"/>
        <v>16.674999999999997</v>
      </c>
      <c r="AB32" s="98">
        <f t="shared" ca="1" si="0"/>
        <v>26.908509777285015</v>
      </c>
      <c r="AC32" s="113">
        <v>11</v>
      </c>
      <c r="AD32" s="113">
        <f t="shared" ca="1" si="2"/>
        <v>26.952888963269906</v>
      </c>
      <c r="AE32" s="113">
        <f t="shared" ca="1" si="3"/>
        <v>26.960944146920383</v>
      </c>
    </row>
    <row r="33" spans="26:31">
      <c r="Z33" s="114">
        <v>15</v>
      </c>
      <c r="AA33" s="114">
        <f t="shared" si="1"/>
        <v>17.25</v>
      </c>
      <c r="AB33" s="98">
        <f t="shared" ca="1" si="0"/>
        <v>26.906423930619987</v>
      </c>
      <c r="AC33" s="113">
        <v>12</v>
      </c>
      <c r="AD33" s="113">
        <f t="shared" ca="1" si="2"/>
        <v>26.952888963269906</v>
      </c>
      <c r="AE33" s="113">
        <f t="shared" ca="1" si="3"/>
        <v>26.960944146920383</v>
      </c>
    </row>
    <row r="34" spans="26:31">
      <c r="Z34" s="114">
        <v>15.5</v>
      </c>
      <c r="AA34" s="114">
        <f t="shared" si="1"/>
        <v>17.824999999999999</v>
      </c>
      <c r="AB34" s="98">
        <f t="shared" ca="1" si="0"/>
        <v>26.904338083954958</v>
      </c>
      <c r="AC34" s="113">
        <v>13</v>
      </c>
      <c r="AD34" s="113">
        <f t="shared" ca="1" si="2"/>
        <v>26.952888963269906</v>
      </c>
      <c r="AE34" s="113">
        <f t="shared" ca="1" si="3"/>
        <v>26.960944146920383</v>
      </c>
    </row>
    <row r="35" spans="26:31">
      <c r="Z35" s="114">
        <v>16</v>
      </c>
      <c r="AA35" s="114">
        <f t="shared" si="1"/>
        <v>18.399999999999999</v>
      </c>
      <c r="AB35" s="98">
        <f t="shared" ca="1" si="0"/>
        <v>26.902252237289929</v>
      </c>
      <c r="AC35" s="113">
        <v>14</v>
      </c>
      <c r="AD35" s="113">
        <f t="shared" ca="1" si="2"/>
        <v>26.952888963269906</v>
      </c>
      <c r="AE35" s="113">
        <f t="shared" ca="1" si="3"/>
        <v>26.960944146920383</v>
      </c>
    </row>
    <row r="36" spans="26:31" ht="13.2" customHeight="1">
      <c r="Z36" s="114">
        <v>16.5</v>
      </c>
      <c r="AA36" s="114">
        <f t="shared" si="1"/>
        <v>18.974999999999998</v>
      </c>
      <c r="AB36" s="98">
        <f t="shared" ca="1" si="0"/>
        <v>26.9001663906249</v>
      </c>
      <c r="AC36" s="113">
        <v>15</v>
      </c>
      <c r="AD36" s="113">
        <f t="shared" ca="1" si="2"/>
        <v>26.952888963269906</v>
      </c>
      <c r="AE36" s="113">
        <f t="shared" ca="1" si="3"/>
        <v>26.960944146920383</v>
      </c>
    </row>
    <row r="37" spans="26:31">
      <c r="Z37" s="114">
        <v>17</v>
      </c>
      <c r="AA37" s="114">
        <f t="shared" si="1"/>
        <v>19.549999999999997</v>
      </c>
      <c r="AB37" s="98">
        <f t="shared" ca="1" si="0"/>
        <v>26.898080543959871</v>
      </c>
      <c r="AC37" s="113">
        <v>16</v>
      </c>
      <c r="AD37" s="113">
        <f t="shared" ca="1" si="2"/>
        <v>26.952888963269906</v>
      </c>
      <c r="AE37" s="113">
        <f t="shared" ca="1" si="3"/>
        <v>26.960944146920383</v>
      </c>
    </row>
    <row r="38" spans="26:31">
      <c r="Z38" s="114">
        <v>17.5</v>
      </c>
      <c r="AA38" s="114">
        <f t="shared" si="1"/>
        <v>20.125</v>
      </c>
      <c r="AB38" s="98">
        <f t="shared" ca="1" si="0"/>
        <v>26.895994697294842</v>
      </c>
      <c r="AC38" s="113">
        <v>17</v>
      </c>
      <c r="AD38" s="113">
        <f t="shared" ca="1" si="2"/>
        <v>26.952888963269906</v>
      </c>
      <c r="AE38" s="113">
        <f t="shared" ca="1" si="3"/>
        <v>26.960944146920383</v>
      </c>
    </row>
    <row r="39" spans="26:31">
      <c r="Z39" s="114">
        <v>18</v>
      </c>
      <c r="AA39" s="114">
        <f t="shared" si="1"/>
        <v>20.7</v>
      </c>
      <c r="AB39" s="98">
        <f t="shared" ca="1" si="0"/>
        <v>26.89390885062981</v>
      </c>
      <c r="AC39" s="113">
        <v>18</v>
      </c>
      <c r="AD39" s="113">
        <f t="shared" ca="1" si="2"/>
        <v>26.952888963269906</v>
      </c>
      <c r="AE39" s="113">
        <f t="shared" ca="1" si="3"/>
        <v>26.960944146920383</v>
      </c>
    </row>
    <row r="40" spans="26:31">
      <c r="Z40" s="114">
        <v>18.5</v>
      </c>
      <c r="AA40" s="114">
        <f t="shared" si="1"/>
        <v>21.274999999999999</v>
      </c>
      <c r="AB40" s="98">
        <f t="shared" ca="1" si="0"/>
        <v>26.891823003964781</v>
      </c>
      <c r="AC40" s="113">
        <v>19</v>
      </c>
      <c r="AD40" s="113">
        <f t="shared" ca="1" si="2"/>
        <v>26.952888963269906</v>
      </c>
      <c r="AE40" s="113">
        <f t="shared" ca="1" si="3"/>
        <v>26.960944146920383</v>
      </c>
    </row>
    <row r="41" spans="26:31">
      <c r="Z41" s="114">
        <v>19</v>
      </c>
      <c r="AA41" s="114">
        <f t="shared" si="1"/>
        <v>21.849999999999998</v>
      </c>
      <c r="AB41" s="98">
        <f t="shared" ca="1" si="0"/>
        <v>26.889737157299752</v>
      </c>
      <c r="AC41" s="113">
        <v>20</v>
      </c>
      <c r="AD41" s="113">
        <f t="shared" ca="1" si="2"/>
        <v>26.952888963269906</v>
      </c>
      <c r="AE41" s="113">
        <f t="shared" ca="1" si="3"/>
        <v>26.960944146920383</v>
      </c>
    </row>
    <row r="42" spans="26:31">
      <c r="Z42" s="114">
        <v>19.5</v>
      </c>
      <c r="AA42" s="114">
        <f t="shared" si="1"/>
        <v>22.424999999999997</v>
      </c>
      <c r="AB42" s="98">
        <f t="shared" ca="1" si="0"/>
        <v>26.887651310634723</v>
      </c>
    </row>
    <row r="43" spans="26:31">
      <c r="Z43" s="114">
        <v>20</v>
      </c>
      <c r="AA43" s="114">
        <f t="shared" si="1"/>
        <v>23</v>
      </c>
      <c r="AB43" s="98">
        <f t="shared" ca="1" si="0"/>
        <v>26.885565463969694</v>
      </c>
    </row>
    <row r="61" spans="1:2">
      <c r="A61" s="192" t="s">
        <v>127</v>
      </c>
      <c r="B61" s="192"/>
    </row>
    <row r="62" spans="1:2">
      <c r="A62" s="91" t="s">
        <v>110</v>
      </c>
      <c r="B62" s="91" t="s">
        <v>111</v>
      </c>
    </row>
  </sheetData>
  <mergeCells count="13">
    <mergeCell ref="Z1:AB1"/>
    <mergeCell ref="Y2:Y3"/>
    <mergeCell ref="A1:D2"/>
    <mergeCell ref="J28:O31"/>
    <mergeCell ref="E16:E17"/>
    <mergeCell ref="F16:F17"/>
    <mergeCell ref="F20:F21"/>
    <mergeCell ref="E20:E21"/>
    <mergeCell ref="A61:B61"/>
    <mergeCell ref="A6:D7"/>
    <mergeCell ref="A14:B14"/>
    <mergeCell ref="A8:B8"/>
    <mergeCell ref="D8:E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0003" r:id="rId4" name="Scroll Bar 3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004" r:id="rId5" name="Scroll Bar 4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E62"/>
  <sheetViews>
    <sheetView workbookViewId="0">
      <selection activeCell="A5" sqref="A5"/>
    </sheetView>
  </sheetViews>
  <sheetFormatPr defaultRowHeight="13.2"/>
  <cols>
    <col min="1" max="4" width="8.88671875" style="40"/>
    <col min="5" max="5" width="11.109375" style="40" bestFit="1" customWidth="1"/>
    <col min="6" max="22" width="8.88671875" style="40"/>
    <col min="23" max="28" width="8.88671875" style="117"/>
    <col min="29" max="29" width="19.88671875" style="117" customWidth="1"/>
    <col min="30" max="31" width="8.88671875" style="117" customWidth="1"/>
    <col min="32" max="16384" width="8.88671875" style="40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 s="106"/>
      <c r="H1" s="122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 s="106"/>
      <c r="H2" s="122"/>
      <c r="W2" s="117">
        <v>0</v>
      </c>
      <c r="X2" s="117">
        <f>D$4*W2+C$4</f>
        <v>26.955938477976517</v>
      </c>
      <c r="Y2" s="193">
        <f ca="1">SLOPE(X2:X3,W2:W3)</f>
        <v>-5.9238988258769609E-5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 s="122"/>
      <c r="H3" s="122"/>
      <c r="W3" s="117">
        <f ca="1">INDIRECT("data!"&amp;A62&amp;A4)</f>
        <v>2</v>
      </c>
      <c r="X3" s="98">
        <f ca="1">INDIRECT("data!"&amp;$B$62&amp;A4)</f>
        <v>26.955819999999999</v>
      </c>
      <c r="Y3" s="193"/>
      <c r="Z3" s="117">
        <v>0</v>
      </c>
      <c r="AA3" s="117">
        <v>0</v>
      </c>
      <c r="AB3" s="98">
        <f t="shared" ref="AB3:AB43" ca="1" si="0">Y$2*Z3+C$4</f>
        <v>26.955938477976517</v>
      </c>
    </row>
    <row r="4" spans="1:30">
      <c r="A4" s="118">
        <v>16</v>
      </c>
      <c r="B4" s="119">
        <v>0.91661144872066791</v>
      </c>
      <c r="C4" s="98">
        <v>26.955938477976517</v>
      </c>
      <c r="D4" s="115">
        <v>-6.725770103680468E-5</v>
      </c>
      <c r="E4" s="117"/>
      <c r="F4" s="117"/>
      <c r="G4" s="122"/>
      <c r="H4" s="122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26.955908858482388</v>
      </c>
    </row>
    <row r="5" spans="1:30">
      <c r="A5" s="117"/>
      <c r="B5" s="117"/>
      <c r="C5" s="117"/>
      <c r="D5" s="117"/>
      <c r="E5" s="117"/>
      <c r="F5" s="117"/>
      <c r="G5" s="122"/>
      <c r="H5" s="122"/>
      <c r="W5" s="98"/>
      <c r="Z5" s="117">
        <v>1</v>
      </c>
      <c r="AA5" s="117">
        <f t="shared" si="1"/>
        <v>1.1499999999999999</v>
      </c>
      <c r="AB5" s="98">
        <f t="shared" ca="1" si="0"/>
        <v>26.95587923898826</v>
      </c>
    </row>
    <row r="6" spans="1:30">
      <c r="A6" s="189" t="s">
        <v>86</v>
      </c>
      <c r="B6" s="189"/>
      <c r="C6" s="189"/>
      <c r="D6" s="189"/>
      <c r="E6" s="117"/>
      <c r="F6" s="115"/>
      <c r="G6" s="122"/>
      <c r="H6" s="122"/>
      <c r="W6" s="98"/>
      <c r="Z6" s="117">
        <v>1.5</v>
      </c>
      <c r="AA6" s="117">
        <f t="shared" si="1"/>
        <v>1.7249999999999999</v>
      </c>
      <c r="AB6" s="98">
        <f t="shared" ca="1" si="0"/>
        <v>26.955849619494128</v>
      </c>
      <c r="AD6" s="115"/>
    </row>
    <row r="7" spans="1:30">
      <c r="A7" s="189"/>
      <c r="B7" s="189"/>
      <c r="C7" s="189"/>
      <c r="D7" s="189"/>
      <c r="E7" s="115"/>
      <c r="F7" s="115"/>
      <c r="G7" s="106"/>
      <c r="H7" s="122"/>
      <c r="W7" s="98"/>
      <c r="Z7" s="117">
        <v>2</v>
      </c>
      <c r="AA7" s="117">
        <f t="shared" si="1"/>
        <v>2.2999999999999998</v>
      </c>
      <c r="AB7" s="98">
        <f t="shared" ca="1" si="0"/>
        <v>26.955819999999999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 s="106"/>
      <c r="H8" s="122"/>
      <c r="W8" s="98"/>
      <c r="Z8" s="117">
        <v>2.5</v>
      </c>
      <c r="AA8" s="117">
        <f t="shared" si="1"/>
        <v>2.875</v>
      </c>
      <c r="AB8" s="98">
        <f t="shared" ca="1" si="0"/>
        <v>26.955790380505871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 s="122"/>
      <c r="H9" s="122"/>
      <c r="W9" s="98"/>
      <c r="Z9" s="117">
        <v>3</v>
      </c>
      <c r="AA9" s="117">
        <f t="shared" si="1"/>
        <v>3.4499999999999997</v>
      </c>
      <c r="AB9" s="98">
        <f t="shared" ca="1" si="0"/>
        <v>26.955760761011739</v>
      </c>
      <c r="AD9" s="115"/>
    </row>
    <row r="10" spans="1:30" ht="15.6">
      <c r="A10" s="117">
        <f ca="1">D13</f>
        <v>2.2999999999999998</v>
      </c>
      <c r="B10" s="98">
        <f ca="1">E13</f>
        <v>26.95579</v>
      </c>
      <c r="C10" s="115"/>
      <c r="D10" s="120" t="s">
        <v>80</v>
      </c>
      <c r="E10" s="120" t="s">
        <v>79</v>
      </c>
      <c r="F10" s="117"/>
      <c r="G10" s="122"/>
      <c r="H10" s="122"/>
      <c r="W10" s="98"/>
      <c r="Z10" s="117">
        <v>3.5</v>
      </c>
      <c r="AA10" s="117">
        <f t="shared" si="1"/>
        <v>4.0249999999999995</v>
      </c>
      <c r="AB10" s="98">
        <f t="shared" ca="1" si="0"/>
        <v>26.95573114151761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2</v>
      </c>
      <c r="E11" s="5">
        <f ca="1">INDIRECT("data!"&amp;$B$62&amp;A4+2)</f>
        <v>26.95579</v>
      </c>
      <c r="F11" s="116" t="s">
        <v>94</v>
      </c>
      <c r="G11" s="122"/>
      <c r="H11" s="122"/>
      <c r="W11" s="98"/>
      <c r="Z11" s="117">
        <v>4</v>
      </c>
      <c r="AA11" s="117">
        <f t="shared" si="1"/>
        <v>4.5999999999999996</v>
      </c>
      <c r="AB11" s="98">
        <f t="shared" ca="1" si="0"/>
        <v>26.955701522023482</v>
      </c>
      <c r="AD11" s="115"/>
    </row>
    <row r="12" spans="1:30" ht="13.2" customHeight="1">
      <c r="A12" s="117"/>
      <c r="B12" s="117"/>
      <c r="C12" s="117"/>
      <c r="D12" s="5">
        <v>3</v>
      </c>
      <c r="E12" s="5">
        <v>0</v>
      </c>
      <c r="F12" s="117"/>
      <c r="G12" s="122"/>
      <c r="H12" s="122"/>
      <c r="W12" s="98"/>
      <c r="Z12" s="117">
        <v>4.5</v>
      </c>
      <c r="AA12" s="117">
        <f t="shared" si="1"/>
        <v>5.1749999999999998</v>
      </c>
      <c r="AB12" s="98">
        <f t="shared" ca="1" si="0"/>
        <v>26.955671902529353</v>
      </c>
      <c r="AD12" s="115"/>
    </row>
    <row r="13" spans="1:30">
      <c r="A13" s="117"/>
      <c r="B13" s="117"/>
      <c r="C13" s="117"/>
      <c r="D13" s="5">
        <f ca="1">D12*D9+D11</f>
        <v>2.2999999999999998</v>
      </c>
      <c r="E13" s="5">
        <f ca="1">E12*E9+E11</f>
        <v>26.95579</v>
      </c>
      <c r="F13" s="117"/>
      <c r="G13" s="122"/>
      <c r="H13" s="122"/>
      <c r="W13" s="98"/>
      <c r="Z13" s="117">
        <v>5</v>
      </c>
      <c r="AA13" s="117">
        <f t="shared" si="1"/>
        <v>5.75</v>
      </c>
      <c r="AB13" s="98">
        <f t="shared" ca="1" si="0"/>
        <v>26.955642283035225</v>
      </c>
      <c r="AD13" s="115"/>
    </row>
    <row r="14" spans="1:30">
      <c r="A14" s="106"/>
      <c r="B14" s="106"/>
      <c r="C14" s="106"/>
      <c r="D14" s="106"/>
      <c r="E14" s="122"/>
      <c r="F14" s="122"/>
      <c r="G14" s="122"/>
      <c r="H14" s="122"/>
      <c r="W14" s="98"/>
      <c r="Z14" s="117">
        <v>5.5</v>
      </c>
      <c r="AA14" s="117">
        <f t="shared" si="1"/>
        <v>6.3249999999999993</v>
      </c>
      <c r="AB14" s="98">
        <f t="shared" ca="1" si="0"/>
        <v>26.955612663541093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 s="106"/>
      <c r="H15" s="122"/>
      <c r="W15" s="98"/>
      <c r="Z15" s="117">
        <v>6</v>
      </c>
      <c r="AA15" s="117">
        <f t="shared" si="1"/>
        <v>6.8999999999999995</v>
      </c>
      <c r="AB15" s="98">
        <f t="shared" ca="1" si="0"/>
        <v>26.955583044046964</v>
      </c>
      <c r="AD15" s="115"/>
    </row>
    <row r="16" spans="1:30" ht="15.6">
      <c r="A16" s="29" t="s">
        <v>81</v>
      </c>
      <c r="B16" s="24">
        <f ca="1">B17-1</f>
        <v>18</v>
      </c>
      <c r="C16" s="125">
        <f ca="1">INDIRECT("data!"&amp;$A$62&amp;B16)</f>
        <v>3.872983346207417</v>
      </c>
      <c r="D16" s="125">
        <f ca="1">INDIRECT("data!"&amp;$B$62&amp;B16)</f>
        <v>26.95579</v>
      </c>
      <c r="E16" s="187">
        <f ca="1">FORECAST(A17,C16:C17,D16:D17)</f>
        <v>4.7551857165526599</v>
      </c>
      <c r="F16" s="195" t="s">
        <v>93</v>
      </c>
      <c r="G16" s="106"/>
      <c r="H16" s="122"/>
      <c r="W16" s="98"/>
      <c r="Z16" s="117">
        <v>6.5</v>
      </c>
      <c r="AA16" s="117">
        <f t="shared" si="1"/>
        <v>7.4749999999999996</v>
      </c>
      <c r="AB16" s="98">
        <f t="shared" ca="1" si="0"/>
        <v>26.955553424552836</v>
      </c>
      <c r="AD16" s="115"/>
    </row>
    <row r="17" spans="1:31">
      <c r="A17" s="126">
        <f ca="1">B10+(1/9)*(B10-C4)</f>
        <v>26.955773502447055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19</v>
      </c>
      <c r="C17" s="125">
        <f ca="1">INDIRECT("data!"&amp;$A$62&amp;B17)</f>
        <v>5.4772255750516612</v>
      </c>
      <c r="D17" s="125">
        <f ca="1">INDIRECT("data!"&amp;$B$62&amp;B17)</f>
        <v>26.955760000000001</v>
      </c>
      <c r="E17" s="187"/>
      <c r="F17" s="187"/>
      <c r="G17" s="122"/>
      <c r="H17" s="122"/>
      <c r="W17" s="98"/>
      <c r="Z17" s="117">
        <v>7</v>
      </c>
      <c r="AA17" s="117">
        <f t="shared" si="1"/>
        <v>8.0499999999999989</v>
      </c>
      <c r="AB17" s="98">
        <f t="shared" ca="1" si="0"/>
        <v>26.955523805058704</v>
      </c>
      <c r="AD17" s="115"/>
    </row>
    <row r="18" spans="1:31">
      <c r="A18" s="5"/>
      <c r="B18" s="24"/>
      <c r="C18" s="5"/>
      <c r="D18" s="5"/>
      <c r="E18" s="5"/>
      <c r="F18" s="5"/>
      <c r="G18" s="122"/>
      <c r="H18" s="122"/>
      <c r="W18" s="98"/>
      <c r="Z18" s="117">
        <v>7.5</v>
      </c>
      <c r="AA18" s="117">
        <f t="shared" si="1"/>
        <v>8.625</v>
      </c>
      <c r="AB18" s="98">
        <f t="shared" ca="1" si="0"/>
        <v>26.955494185564575</v>
      </c>
      <c r="AD18" s="115"/>
    </row>
    <row r="19" spans="1:31">
      <c r="A19" s="5"/>
      <c r="B19" s="24"/>
      <c r="C19" s="5"/>
      <c r="D19" s="5"/>
      <c r="E19" s="5"/>
      <c r="F19" s="5"/>
      <c r="G19" s="122"/>
      <c r="H19" s="122"/>
      <c r="Z19" s="117">
        <v>8</v>
      </c>
      <c r="AA19" s="117">
        <f t="shared" si="1"/>
        <v>9.1999999999999993</v>
      </c>
      <c r="AB19" s="98">
        <f t="shared" ca="1" si="0"/>
        <v>26.955464566070447</v>
      </c>
    </row>
    <row r="20" spans="1:31" ht="15.6">
      <c r="A20" s="29" t="s">
        <v>82</v>
      </c>
      <c r="B20" s="24">
        <f ca="1">B21-1</f>
        <v>13</v>
      </c>
      <c r="C20" s="125">
        <f ca="1">INDIRECT("data!"&amp;$A$62&amp;B20)</f>
        <v>0.70710678118654757</v>
      </c>
      <c r="D20" s="125">
        <f ca="1">INDIRECT("data!"&amp;$B$62&amp;B20)</f>
        <v>26.955880000000001</v>
      </c>
      <c r="E20" s="187">
        <f ca="1">FORECAST(A21,C20:C21,D20:D21)</f>
        <v>0.94151691964361817</v>
      </c>
      <c r="F20" s="195" t="s">
        <v>92</v>
      </c>
      <c r="G20" s="122"/>
      <c r="H20" s="122"/>
      <c r="Z20" s="117">
        <v>8.5</v>
      </c>
      <c r="AA20" s="117">
        <f t="shared" si="1"/>
        <v>9.7749999999999986</v>
      </c>
      <c r="AB20" s="98">
        <f t="shared" ca="1" si="0"/>
        <v>26.955434946576318</v>
      </c>
      <c r="AD20" s="121" t="s">
        <v>83</v>
      </c>
      <c r="AE20" s="121" t="s">
        <v>84</v>
      </c>
    </row>
    <row r="21" spans="1:31">
      <c r="A21" s="126">
        <f ca="1">A17-(5/9)*(B10-C4)</f>
        <v>26.955855990211788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14</v>
      </c>
      <c r="C21" s="125">
        <f ca="1">INDIRECT("data!"&amp;$A$62&amp;B21)</f>
        <v>1</v>
      </c>
      <c r="D21" s="125">
        <f ca="1">INDIRECT("data!"&amp;$B$62&amp;B21)</f>
        <v>26.955850000000002</v>
      </c>
      <c r="E21" s="187"/>
      <c r="F21" s="195"/>
      <c r="G21"/>
      <c r="H21"/>
      <c r="Z21" s="117">
        <v>9</v>
      </c>
      <c r="AA21" s="117">
        <f t="shared" si="1"/>
        <v>10.35</v>
      </c>
      <c r="AB21" s="98">
        <f t="shared" ca="1" si="0"/>
        <v>26.95540532708219</v>
      </c>
      <c r="AC21" s="116">
        <v>0</v>
      </c>
      <c r="AD21" s="116">
        <f t="shared" ref="AD21:AD41" ca="1" si="2">A$17</f>
        <v>26.955773502447055</v>
      </c>
      <c r="AE21" s="116">
        <f t="shared" ref="AE21:AE41" ca="1" si="3">A$21</f>
        <v>26.955855990211788</v>
      </c>
    </row>
    <row r="22" spans="1:31">
      <c r="G22"/>
      <c r="H22"/>
      <c r="Z22" s="117">
        <v>9.5</v>
      </c>
      <c r="AA22" s="117">
        <f t="shared" si="1"/>
        <v>10.924999999999999</v>
      </c>
      <c r="AB22" s="98">
        <f t="shared" ca="1" si="0"/>
        <v>26.955375707588058</v>
      </c>
      <c r="AC22" s="116">
        <v>1</v>
      </c>
      <c r="AD22" s="116">
        <f t="shared" ca="1" si="2"/>
        <v>26.955773502447055</v>
      </c>
      <c r="AE22" s="116">
        <f t="shared" ca="1" si="3"/>
        <v>26.955855990211788</v>
      </c>
    </row>
    <row r="23" spans="1:31" ht="13.2" customHeight="1">
      <c r="G23"/>
      <c r="H23"/>
      <c r="Z23" s="117">
        <v>10</v>
      </c>
      <c r="AA23" s="117">
        <f t="shared" si="1"/>
        <v>11.5</v>
      </c>
      <c r="AB23" s="98">
        <f t="shared" ca="1" si="0"/>
        <v>26.955346088093929</v>
      </c>
      <c r="AC23" s="116">
        <v>2</v>
      </c>
      <c r="AD23" s="116">
        <f t="shared" ca="1" si="2"/>
        <v>26.955773502447055</v>
      </c>
      <c r="AE23" s="116">
        <f t="shared" ca="1" si="3"/>
        <v>26.955855990211788</v>
      </c>
    </row>
    <row r="24" spans="1:31" ht="13.2" customHeight="1">
      <c r="G24" s="106"/>
      <c r="H24"/>
      <c r="Z24" s="117">
        <v>10.5</v>
      </c>
      <c r="AA24" s="117">
        <f t="shared" si="1"/>
        <v>12.074999999999999</v>
      </c>
      <c r="AB24" s="98">
        <f t="shared" ca="1" si="0"/>
        <v>26.955316468599801</v>
      </c>
      <c r="AC24" s="116">
        <v>3</v>
      </c>
      <c r="AD24" s="116">
        <f t="shared" ca="1" si="2"/>
        <v>26.955773502447055</v>
      </c>
      <c r="AE24" s="116">
        <f t="shared" ca="1" si="3"/>
        <v>26.955855990211788</v>
      </c>
    </row>
    <row r="25" spans="1:31">
      <c r="G25" s="106"/>
      <c r="H25"/>
      <c r="Z25" s="117">
        <v>11</v>
      </c>
      <c r="AA25" s="117">
        <f t="shared" si="1"/>
        <v>12.649999999999999</v>
      </c>
      <c r="AB25" s="98">
        <f t="shared" ca="1" si="0"/>
        <v>26.955286849105669</v>
      </c>
      <c r="AC25" s="116">
        <v>4</v>
      </c>
      <c r="AD25" s="116">
        <f t="shared" ca="1" si="2"/>
        <v>26.955773502447055</v>
      </c>
      <c r="AE25" s="116">
        <f t="shared" ca="1" si="3"/>
        <v>26.955855990211788</v>
      </c>
    </row>
    <row r="26" spans="1:31">
      <c r="G26"/>
      <c r="H26"/>
      <c r="Z26" s="117">
        <v>11.5</v>
      </c>
      <c r="AA26" s="117">
        <f t="shared" si="1"/>
        <v>13.225</v>
      </c>
      <c r="AB26" s="98">
        <f t="shared" ca="1" si="0"/>
        <v>26.95525722961154</v>
      </c>
      <c r="AC26" s="116">
        <v>5</v>
      </c>
      <c r="AD26" s="116">
        <f t="shared" ca="1" si="2"/>
        <v>26.955773502447055</v>
      </c>
      <c r="AE26" s="116">
        <f t="shared" ca="1" si="3"/>
        <v>26.955855990211788</v>
      </c>
    </row>
    <row r="27" spans="1:31">
      <c r="G27"/>
      <c r="H27"/>
      <c r="Z27" s="117">
        <v>12</v>
      </c>
      <c r="AA27" s="117">
        <f t="shared" si="1"/>
        <v>13.799999999999999</v>
      </c>
      <c r="AB27" s="98">
        <f t="shared" ca="1" si="0"/>
        <v>26.955227610117412</v>
      </c>
      <c r="AC27" s="116">
        <v>6</v>
      </c>
      <c r="AD27" s="116">
        <f t="shared" ca="1" si="2"/>
        <v>26.955773502447055</v>
      </c>
      <c r="AE27" s="116">
        <f t="shared" ca="1" si="3"/>
        <v>26.955855990211788</v>
      </c>
    </row>
    <row r="28" spans="1:31">
      <c r="G28"/>
      <c r="H28"/>
      <c r="J28" s="194" t="s">
        <v>88</v>
      </c>
      <c r="K28" s="194"/>
      <c r="L28" s="194"/>
      <c r="M28" s="194"/>
      <c r="N28" s="194"/>
      <c r="O28" s="194"/>
      <c r="P28" s="194"/>
      <c r="Z28" s="117">
        <v>12.5</v>
      </c>
      <c r="AA28" s="117">
        <f t="shared" si="1"/>
        <v>14.374999999999998</v>
      </c>
      <c r="AB28" s="98">
        <f t="shared" ca="1" si="0"/>
        <v>26.955197990623283</v>
      </c>
      <c r="AC28" s="116">
        <v>7</v>
      </c>
      <c r="AD28" s="116">
        <f t="shared" ca="1" si="2"/>
        <v>26.955773502447055</v>
      </c>
      <c r="AE28" s="116">
        <f t="shared" ca="1" si="3"/>
        <v>26.955855990211788</v>
      </c>
    </row>
    <row r="29" spans="1:31">
      <c r="A29"/>
      <c r="B29"/>
      <c r="C29"/>
      <c r="D29"/>
      <c r="E29"/>
      <c r="F29"/>
      <c r="G29"/>
      <c r="H29"/>
      <c r="J29" s="194"/>
      <c r="K29" s="194"/>
      <c r="L29" s="194"/>
      <c r="M29" s="194"/>
      <c r="N29" s="194"/>
      <c r="O29" s="194"/>
      <c r="P29" s="194"/>
      <c r="Z29" s="117">
        <v>13</v>
      </c>
      <c r="AA29" s="117">
        <f t="shared" si="1"/>
        <v>14.95</v>
      </c>
      <c r="AB29" s="98">
        <f t="shared" ca="1" si="0"/>
        <v>26.955168371129155</v>
      </c>
      <c r="AC29" s="116">
        <v>8</v>
      </c>
      <c r="AD29" s="116">
        <f t="shared" ca="1" si="2"/>
        <v>26.955773502447055</v>
      </c>
      <c r="AE29" s="116">
        <f t="shared" ca="1" si="3"/>
        <v>26.955855990211788</v>
      </c>
    </row>
    <row r="30" spans="1:31">
      <c r="A30"/>
      <c r="B30"/>
      <c r="C30"/>
      <c r="D30"/>
      <c r="E30"/>
      <c r="F30"/>
      <c r="G30"/>
      <c r="H30"/>
      <c r="J30" s="194"/>
      <c r="K30" s="194"/>
      <c r="L30" s="194"/>
      <c r="M30" s="194"/>
      <c r="N30" s="194"/>
      <c r="O30" s="194"/>
      <c r="P30" s="194"/>
      <c r="Z30" s="117">
        <v>13.5</v>
      </c>
      <c r="AA30" s="117">
        <f t="shared" si="1"/>
        <v>15.524999999999999</v>
      </c>
      <c r="AB30" s="98">
        <f t="shared" ca="1" si="0"/>
        <v>26.955138751635022</v>
      </c>
      <c r="AC30" s="116">
        <v>9</v>
      </c>
      <c r="AD30" s="116">
        <f t="shared" ca="1" si="2"/>
        <v>26.955773502447055</v>
      </c>
      <c r="AE30" s="116">
        <f t="shared" ca="1" si="3"/>
        <v>26.955855990211788</v>
      </c>
    </row>
    <row r="31" spans="1:31">
      <c r="J31" s="194"/>
      <c r="K31" s="194"/>
      <c r="L31" s="194"/>
      <c r="M31" s="194"/>
      <c r="N31" s="194"/>
      <c r="O31" s="194"/>
      <c r="P31" s="194"/>
      <c r="Z31" s="117">
        <v>14</v>
      </c>
      <c r="AA31" s="117">
        <f t="shared" si="1"/>
        <v>16.099999999999998</v>
      </c>
      <c r="AB31" s="98">
        <f t="shared" ca="1" si="0"/>
        <v>26.955109132140894</v>
      </c>
      <c r="AC31" s="116">
        <v>10</v>
      </c>
      <c r="AD31" s="116">
        <f t="shared" ca="1" si="2"/>
        <v>26.955773502447055</v>
      </c>
      <c r="AE31" s="116">
        <f t="shared" ca="1" si="3"/>
        <v>26.955855990211788</v>
      </c>
    </row>
    <row r="32" spans="1:31">
      <c r="J32" s="194"/>
      <c r="K32" s="194"/>
      <c r="L32" s="194"/>
      <c r="M32" s="194"/>
      <c r="N32" s="194"/>
      <c r="O32" s="194"/>
      <c r="P32" s="194"/>
      <c r="Z32" s="117">
        <v>14.5</v>
      </c>
      <c r="AA32" s="117">
        <f t="shared" si="1"/>
        <v>16.674999999999997</v>
      </c>
      <c r="AB32" s="98">
        <f t="shared" ca="1" si="0"/>
        <v>26.955079512646765</v>
      </c>
      <c r="AC32" s="116">
        <v>11</v>
      </c>
      <c r="AD32" s="116">
        <f t="shared" ca="1" si="2"/>
        <v>26.955773502447055</v>
      </c>
      <c r="AE32" s="116">
        <f t="shared" ca="1" si="3"/>
        <v>26.955855990211788</v>
      </c>
    </row>
    <row r="33" spans="26:31">
      <c r="Z33" s="117">
        <v>15</v>
      </c>
      <c r="AA33" s="117">
        <f t="shared" si="1"/>
        <v>17.25</v>
      </c>
      <c r="AB33" s="98">
        <f t="shared" ca="1" si="0"/>
        <v>26.955049893152633</v>
      </c>
      <c r="AC33" s="116">
        <v>12</v>
      </c>
      <c r="AD33" s="116">
        <f t="shared" ca="1" si="2"/>
        <v>26.955773502447055</v>
      </c>
      <c r="AE33" s="116">
        <f t="shared" ca="1" si="3"/>
        <v>26.955855990211788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26.955020273658505</v>
      </c>
      <c r="AC34" s="116">
        <v>13</v>
      </c>
      <c r="AD34" s="116">
        <f t="shared" ca="1" si="2"/>
        <v>26.955773502447055</v>
      </c>
      <c r="AE34" s="116">
        <f t="shared" ca="1" si="3"/>
        <v>26.955855990211788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26.954990654164376</v>
      </c>
      <c r="AC35" s="116">
        <v>14</v>
      </c>
      <c r="AD35" s="116">
        <f t="shared" ca="1" si="2"/>
        <v>26.955773502447055</v>
      </c>
      <c r="AE35" s="116">
        <f t="shared" ca="1" si="3"/>
        <v>26.955855990211788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26.954961034670248</v>
      </c>
      <c r="AC36" s="116">
        <v>15</v>
      </c>
      <c r="AD36" s="116">
        <f t="shared" ca="1" si="2"/>
        <v>26.955773502447055</v>
      </c>
      <c r="AE36" s="116">
        <f t="shared" ca="1" si="3"/>
        <v>26.955855990211788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26.954931415176119</v>
      </c>
      <c r="AC37" s="116">
        <v>16</v>
      </c>
      <c r="AD37" s="116">
        <f t="shared" ca="1" si="2"/>
        <v>26.955773502447055</v>
      </c>
      <c r="AE37" s="116">
        <f t="shared" ca="1" si="3"/>
        <v>26.955855990211788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26.954901795681987</v>
      </c>
      <c r="AC38" s="116">
        <v>17</v>
      </c>
      <c r="AD38" s="116">
        <f t="shared" ca="1" si="2"/>
        <v>26.955773502447055</v>
      </c>
      <c r="AE38" s="116">
        <f t="shared" ca="1" si="3"/>
        <v>26.955855990211788</v>
      </c>
    </row>
    <row r="39" spans="26:31">
      <c r="Z39" s="117">
        <v>18</v>
      </c>
      <c r="AA39" s="117">
        <f t="shared" si="1"/>
        <v>20.7</v>
      </c>
      <c r="AB39" s="98">
        <f t="shared" ca="1" si="0"/>
        <v>26.954872176187859</v>
      </c>
      <c r="AC39" s="116">
        <v>18</v>
      </c>
      <c r="AD39" s="116">
        <f t="shared" ca="1" si="2"/>
        <v>26.955773502447055</v>
      </c>
      <c r="AE39" s="116">
        <f t="shared" ca="1" si="3"/>
        <v>26.955855990211788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26.95484255669373</v>
      </c>
      <c r="AC40" s="116">
        <v>19</v>
      </c>
      <c r="AD40" s="116">
        <f t="shared" ca="1" si="2"/>
        <v>26.955773502447055</v>
      </c>
      <c r="AE40" s="116">
        <f t="shared" ca="1" si="3"/>
        <v>26.955855990211788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26.954812937199598</v>
      </c>
      <c r="AC41" s="116">
        <v>20</v>
      </c>
      <c r="AD41" s="116">
        <f t="shared" ca="1" si="2"/>
        <v>26.955773502447055</v>
      </c>
      <c r="AE41" s="116">
        <f t="shared" ca="1" si="3"/>
        <v>26.955855990211788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26.95478331770547</v>
      </c>
    </row>
    <row r="43" spans="26:31">
      <c r="Z43" s="117">
        <v>20</v>
      </c>
      <c r="AA43" s="117">
        <f t="shared" si="1"/>
        <v>23</v>
      </c>
      <c r="AB43" s="98">
        <f t="shared" ca="1" si="0"/>
        <v>26.954753698211341</v>
      </c>
    </row>
    <row r="61" spans="1:2">
      <c r="A61" s="188" t="s">
        <v>127</v>
      </c>
      <c r="B61" s="188"/>
    </row>
    <row r="62" spans="1:2">
      <c r="A62" s="91" t="s">
        <v>112</v>
      </c>
      <c r="B62" s="91" t="s">
        <v>113</v>
      </c>
    </row>
  </sheetData>
  <mergeCells count="12">
    <mergeCell ref="Z1:AB1"/>
    <mergeCell ref="Y2:Y3"/>
    <mergeCell ref="J28:P32"/>
    <mergeCell ref="E16:E17"/>
    <mergeCell ref="F16:F17"/>
    <mergeCell ref="E20:E21"/>
    <mergeCell ref="F20:F21"/>
    <mergeCell ref="A1:D2"/>
    <mergeCell ref="A6:D7"/>
    <mergeCell ref="A8:B8"/>
    <mergeCell ref="D8:E8"/>
    <mergeCell ref="A61:B6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1041" r:id="rId3" name="Scroll Bar 17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042" r:id="rId4" name="Scroll Bar 18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62"/>
  <sheetViews>
    <sheetView workbookViewId="0">
      <selection activeCell="D11" sqref="D11"/>
    </sheetView>
  </sheetViews>
  <sheetFormatPr defaultRowHeight="13.2"/>
  <cols>
    <col min="1" max="4" width="8.88671875" style="40"/>
    <col min="5" max="5" width="11.109375" style="40" bestFit="1" customWidth="1"/>
    <col min="6" max="22" width="8.88671875" style="40"/>
    <col min="23" max="28" width="8.88671875" style="117"/>
    <col min="29" max="29" width="19.88671875" style="117" customWidth="1"/>
    <col min="30" max="31" width="8.88671875" style="117" customWidth="1"/>
    <col min="32" max="16384" width="8.88671875" style="40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 s="115"/>
      <c r="H1" s="122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 s="115"/>
      <c r="H2" s="122"/>
      <c r="W2" s="117">
        <v>0</v>
      </c>
      <c r="X2" s="117">
        <f>D$4*W2+C$4</f>
        <v>26.955726121231489</v>
      </c>
      <c r="Y2" s="193">
        <f ca="1">SLOPE(X2:X3,W2:W3)</f>
        <v>-1.3306061574525074E-4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 s="115"/>
      <c r="H3" s="122"/>
      <c r="W3" s="117">
        <f ca="1">INDIRECT("data!"&amp;A62&amp;A4)</f>
        <v>2</v>
      </c>
      <c r="X3" s="98">
        <f ca="1">INDIRECT("data!"&amp;$B$62&amp;A4)</f>
        <v>26.955459999999999</v>
      </c>
      <c r="Y3" s="193"/>
      <c r="Z3" s="117">
        <v>0</v>
      </c>
      <c r="AA3" s="117">
        <v>0</v>
      </c>
      <c r="AB3" s="98">
        <f t="shared" ref="AB3:AB43" ca="1" si="0">Y$2*Z3+C$4</f>
        <v>26.955726121231489</v>
      </c>
    </row>
    <row r="4" spans="1:30">
      <c r="A4" s="118">
        <v>16</v>
      </c>
      <c r="B4" s="119">
        <v>0.83608781826735201</v>
      </c>
      <c r="C4" s="98">
        <v>26.955726121231489</v>
      </c>
      <c r="D4" s="115">
        <v>-1.6384686111252421E-4</v>
      </c>
      <c r="E4" s="117"/>
      <c r="F4" s="117"/>
      <c r="G4" s="115"/>
      <c r="H4" s="122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26.955659590923617</v>
      </c>
    </row>
    <row r="5" spans="1:30">
      <c r="A5" s="117"/>
      <c r="B5" s="117"/>
      <c r="C5" s="117"/>
      <c r="D5" s="117"/>
      <c r="E5" s="117"/>
      <c r="F5" s="117"/>
      <c r="G5" s="115"/>
      <c r="H5" s="122"/>
      <c r="W5" s="98"/>
      <c r="Z5" s="117">
        <v>1</v>
      </c>
      <c r="AA5" s="117">
        <f t="shared" si="1"/>
        <v>1.1499999999999999</v>
      </c>
      <c r="AB5" s="98">
        <f t="shared" ca="1" si="0"/>
        <v>26.955593060615744</v>
      </c>
    </row>
    <row r="6" spans="1:30">
      <c r="A6" s="189" t="s">
        <v>86</v>
      </c>
      <c r="B6" s="189"/>
      <c r="C6" s="189"/>
      <c r="D6" s="189"/>
      <c r="E6" s="117"/>
      <c r="F6" s="115"/>
      <c r="G6" s="115"/>
      <c r="H6" s="122"/>
      <c r="W6" s="98"/>
      <c r="Z6" s="117">
        <v>1.5</v>
      </c>
      <c r="AA6" s="117">
        <f t="shared" si="1"/>
        <v>1.7249999999999999</v>
      </c>
      <c r="AB6" s="98">
        <f t="shared" ca="1" si="0"/>
        <v>26.955526530307871</v>
      </c>
      <c r="AD6" s="115"/>
    </row>
    <row r="7" spans="1:30">
      <c r="A7" s="189"/>
      <c r="B7" s="189"/>
      <c r="C7" s="189"/>
      <c r="D7" s="189"/>
      <c r="E7" s="115"/>
      <c r="F7" s="115"/>
      <c r="G7" s="115"/>
      <c r="H7" s="122"/>
      <c r="W7" s="98"/>
      <c r="Z7" s="117">
        <v>2</v>
      </c>
      <c r="AA7" s="117">
        <f t="shared" si="1"/>
        <v>2.2999999999999998</v>
      </c>
      <c r="AB7" s="98">
        <f t="shared" ca="1" si="0"/>
        <v>26.955459999999999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 s="115"/>
      <c r="H8" s="122"/>
      <c r="W8" s="98"/>
      <c r="Z8" s="117">
        <v>2.5</v>
      </c>
      <c r="AA8" s="117">
        <f t="shared" si="1"/>
        <v>2.875</v>
      </c>
      <c r="AB8" s="98">
        <f t="shared" ca="1" si="0"/>
        <v>26.955393469692126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 s="115"/>
      <c r="H9" s="122"/>
      <c r="W9" s="98"/>
      <c r="Z9" s="117">
        <v>3</v>
      </c>
      <c r="AA9" s="117">
        <f t="shared" si="1"/>
        <v>3.4499999999999997</v>
      </c>
      <c r="AB9" s="98">
        <f t="shared" ca="1" si="0"/>
        <v>26.955326939384253</v>
      </c>
      <c r="AD9" s="115"/>
    </row>
    <row r="10" spans="1:30" ht="15.6">
      <c r="A10" s="117">
        <f ca="1">D13</f>
        <v>3</v>
      </c>
      <c r="B10" s="98">
        <f ca="1">E13</f>
        <v>26.955369999999998</v>
      </c>
      <c r="C10" s="115"/>
      <c r="D10" s="120" t="s">
        <v>80</v>
      </c>
      <c r="E10" s="120" t="s">
        <v>79</v>
      </c>
      <c r="F10" s="117"/>
      <c r="G10" s="115"/>
      <c r="H10" s="122"/>
      <c r="W10" s="98"/>
      <c r="Z10" s="117">
        <v>3.5</v>
      </c>
      <c r="AA10" s="117">
        <f t="shared" si="1"/>
        <v>4.0249999999999995</v>
      </c>
      <c r="AB10" s="98">
        <f t="shared" ca="1" si="0"/>
        <v>26.955260409076381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2</v>
      </c>
      <c r="E11" s="5">
        <f ca="1">INDIRECT("data!"&amp;$B$62&amp;A4+2)</f>
        <v>26.955369999999998</v>
      </c>
      <c r="F11" s="116" t="s">
        <v>94</v>
      </c>
      <c r="G11" s="115"/>
      <c r="H11" s="122"/>
      <c r="W11" s="98"/>
      <c r="Z11" s="117">
        <v>4</v>
      </c>
      <c r="AA11" s="117">
        <f t="shared" si="1"/>
        <v>4.5999999999999996</v>
      </c>
      <c r="AB11" s="98">
        <f t="shared" ca="1" si="0"/>
        <v>26.955193878768508</v>
      </c>
      <c r="AD11" s="115"/>
    </row>
    <row r="12" spans="1:30" ht="13.2" customHeight="1">
      <c r="A12" s="117"/>
      <c r="B12" s="117"/>
      <c r="C12" s="117"/>
      <c r="D12" s="5">
        <v>10</v>
      </c>
      <c r="E12" s="5">
        <v>0</v>
      </c>
      <c r="F12" s="117"/>
      <c r="G12" s="115"/>
      <c r="H12" s="122"/>
      <c r="W12" s="98"/>
      <c r="Z12" s="117">
        <v>4.5</v>
      </c>
      <c r="AA12" s="117">
        <f t="shared" si="1"/>
        <v>5.1749999999999998</v>
      </c>
      <c r="AB12" s="98">
        <f t="shared" ca="1" si="0"/>
        <v>26.955127348460636</v>
      </c>
      <c r="AD12" s="115"/>
    </row>
    <row r="13" spans="1:30">
      <c r="A13" s="117"/>
      <c r="B13" s="117"/>
      <c r="C13" s="117"/>
      <c r="D13" s="5">
        <f ca="1">D12*D9+D11</f>
        <v>3</v>
      </c>
      <c r="E13" s="5">
        <f ca="1">E12*E9+E11</f>
        <v>26.955369999999998</v>
      </c>
      <c r="F13" s="117"/>
      <c r="G13" s="7"/>
      <c r="H13" s="122"/>
      <c r="W13" s="98"/>
      <c r="Z13" s="117">
        <v>5</v>
      </c>
      <c r="AA13" s="117">
        <f t="shared" si="1"/>
        <v>5.75</v>
      </c>
      <c r="AB13" s="98">
        <f t="shared" ca="1" si="0"/>
        <v>26.955060818152763</v>
      </c>
      <c r="AD13" s="115"/>
    </row>
    <row r="14" spans="1:30">
      <c r="A14" s="106"/>
      <c r="B14" s="106"/>
      <c r="C14" s="106"/>
      <c r="D14" s="106"/>
      <c r="E14" s="122"/>
      <c r="F14" s="122"/>
      <c r="G14" s="122"/>
      <c r="H14" s="122"/>
      <c r="W14" s="98"/>
      <c r="Z14" s="117">
        <v>5.5</v>
      </c>
      <c r="AA14" s="117">
        <f t="shared" si="1"/>
        <v>6.3249999999999993</v>
      </c>
      <c r="AB14" s="98">
        <f t="shared" ca="1" si="0"/>
        <v>26.95499428784489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 s="106"/>
      <c r="H15" s="122"/>
      <c r="W15" s="98"/>
      <c r="Z15" s="117">
        <v>6</v>
      </c>
      <c r="AA15" s="117">
        <f t="shared" si="1"/>
        <v>6.8999999999999995</v>
      </c>
      <c r="AB15" s="98">
        <f t="shared" ca="1" si="0"/>
        <v>26.954927757537018</v>
      </c>
      <c r="AD15" s="115"/>
    </row>
    <row r="16" spans="1:30" ht="15.6">
      <c r="A16" s="29" t="s">
        <v>81</v>
      </c>
      <c r="B16" s="24" t="e">
        <f ca="1">B17-1</f>
        <v>#N/A</v>
      </c>
      <c r="C16" s="125" t="e">
        <f ca="1">INDIRECT("data!"&amp;$A$62&amp;B16)</f>
        <v>#N/A</v>
      </c>
      <c r="D16" s="125" t="e">
        <f ca="1">INDIRECT("data!"&amp;$B$62&amp;B16)</f>
        <v>#N/A</v>
      </c>
      <c r="E16" s="187" t="e">
        <f ca="1">FORECAST(A17,C16:C17,D16:D17)</f>
        <v>#N/A</v>
      </c>
      <c r="F16" s="195" t="s">
        <v>93</v>
      </c>
      <c r="G16" s="106"/>
      <c r="H16" s="122"/>
      <c r="W16" s="98"/>
      <c r="Z16" s="117">
        <v>6.5</v>
      </c>
      <c r="AA16" s="117">
        <f t="shared" si="1"/>
        <v>7.4749999999999996</v>
      </c>
      <c r="AB16" s="98">
        <f t="shared" ca="1" si="0"/>
        <v>26.954861227229145</v>
      </c>
      <c r="AD16" s="115"/>
    </row>
    <row r="17" spans="1:31">
      <c r="A17" s="126">
        <f ca="1">B10+(1/9)*(B10-C4)</f>
        <v>26.955330430974278</v>
      </c>
      <c r="B17" s="24" t="e">
        <f t="array" aca="1" ref="B17" ca="1">MATCH(MAX(INDIRECT("data!"&amp;$B$62&amp;"$10:$"&amp;$B$62&amp;"$28")*(INDIRECT("data!"&amp;$B$62&amp;"$10:$"&amp;$B$62&amp;"$28")&lt;=A17)),INDIRECT("data!"&amp;$B$62&amp;"$10:$"&amp;$B$62&amp;"$28"),0)+9</f>
        <v>#N/A</v>
      </c>
      <c r="C17" s="125" t="e">
        <f ca="1">INDIRECT("data!"&amp;$A$62&amp;B17)</f>
        <v>#N/A</v>
      </c>
      <c r="D17" s="125" t="e">
        <f ca="1">INDIRECT("data!"&amp;$B$62&amp;B17)</f>
        <v>#N/A</v>
      </c>
      <c r="E17" s="187"/>
      <c r="F17" s="187"/>
      <c r="G17" s="122"/>
      <c r="H17" s="122"/>
      <c r="W17" s="98"/>
      <c r="Z17" s="117">
        <v>7</v>
      </c>
      <c r="AA17" s="117">
        <f t="shared" si="1"/>
        <v>8.0499999999999989</v>
      </c>
      <c r="AB17" s="98">
        <f t="shared" ca="1" si="0"/>
        <v>26.954794696921272</v>
      </c>
      <c r="AD17" s="115"/>
    </row>
    <row r="18" spans="1:31">
      <c r="A18" s="5"/>
      <c r="B18" s="24"/>
      <c r="C18" s="5"/>
      <c r="D18" s="5"/>
      <c r="E18" s="5"/>
      <c r="F18" s="5"/>
      <c r="G18" s="122"/>
      <c r="H18" s="122"/>
      <c r="W18" s="98"/>
      <c r="Z18" s="117">
        <v>7.5</v>
      </c>
      <c r="AA18" s="117">
        <f t="shared" si="1"/>
        <v>8.625</v>
      </c>
      <c r="AB18" s="98">
        <f t="shared" ca="1" si="0"/>
        <v>26.9547281666134</v>
      </c>
      <c r="AD18" s="115"/>
    </row>
    <row r="19" spans="1:31">
      <c r="A19" s="5"/>
      <c r="B19" s="24"/>
      <c r="C19" s="5"/>
      <c r="D19" s="5"/>
      <c r="E19" s="5"/>
      <c r="F19" s="5"/>
      <c r="G19" s="122"/>
      <c r="H19" s="122"/>
      <c r="Z19" s="117">
        <v>8</v>
      </c>
      <c r="AA19" s="117">
        <f t="shared" si="1"/>
        <v>9.1999999999999993</v>
      </c>
      <c r="AB19" s="98">
        <f t="shared" ca="1" si="0"/>
        <v>26.954661636305527</v>
      </c>
    </row>
    <row r="20" spans="1:31" ht="15.6">
      <c r="A20" s="29" t="s">
        <v>82</v>
      </c>
      <c r="B20" s="24">
        <f ca="1">B21-1</f>
        <v>13</v>
      </c>
      <c r="C20" s="125">
        <f ca="1">INDIRECT("data!"&amp;$A$62&amp;B20)</f>
        <v>0.70710678118654757</v>
      </c>
      <c r="D20" s="125">
        <f ca="1">INDIRECT("data!"&amp;$B$62&amp;B20)</f>
        <v>26.955559999999998</v>
      </c>
      <c r="E20" s="187">
        <f ca="1">FORECAST(A21,C20:C21,D20:D21)</f>
        <v>0.83984555746428668</v>
      </c>
      <c r="F20" s="195" t="s">
        <v>92</v>
      </c>
      <c r="G20" s="122"/>
      <c r="H20" s="122"/>
      <c r="Z20" s="117">
        <v>8.5</v>
      </c>
      <c r="AA20" s="117">
        <f t="shared" si="1"/>
        <v>9.7749999999999986</v>
      </c>
      <c r="AB20" s="98">
        <f t="shared" ca="1" si="0"/>
        <v>26.954595105997655</v>
      </c>
      <c r="AD20" s="121" t="s">
        <v>83</v>
      </c>
      <c r="AE20" s="121" t="s">
        <v>84</v>
      </c>
    </row>
    <row r="21" spans="1:31">
      <c r="A21" s="126">
        <f ca="1">A17-(5/9)*(B10-C4)</f>
        <v>26.955528276102886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14</v>
      </c>
      <c r="C21" s="125">
        <f ca="1">INDIRECT("data!"&amp;$A$62&amp;B21)</f>
        <v>1</v>
      </c>
      <c r="D21" s="125">
        <f ca="1">INDIRECT("data!"&amp;$B$62&amp;B21)</f>
        <v>26.955490000000001</v>
      </c>
      <c r="E21" s="187"/>
      <c r="F21" s="195"/>
      <c r="G21"/>
      <c r="H21"/>
      <c r="Z21" s="117">
        <v>9</v>
      </c>
      <c r="AA21" s="117">
        <f t="shared" si="1"/>
        <v>10.35</v>
      </c>
      <c r="AB21" s="98">
        <f t="shared" ca="1" si="0"/>
        <v>26.954528575689782</v>
      </c>
      <c r="AC21" s="116">
        <v>0</v>
      </c>
      <c r="AD21" s="116">
        <f t="shared" ref="AD21:AD41" ca="1" si="2">A$17</f>
        <v>26.955330430974278</v>
      </c>
      <c r="AE21" s="116">
        <f t="shared" ref="AE21:AE41" ca="1" si="3">A$21</f>
        <v>26.955528276102886</v>
      </c>
    </row>
    <row r="22" spans="1:31">
      <c r="G22"/>
      <c r="H22"/>
      <c r="Z22" s="117">
        <v>9.5</v>
      </c>
      <c r="AA22" s="117">
        <f t="shared" si="1"/>
        <v>10.924999999999999</v>
      </c>
      <c r="AB22" s="98">
        <f t="shared" ca="1" si="0"/>
        <v>26.954462045381909</v>
      </c>
      <c r="AC22" s="116">
        <v>1</v>
      </c>
      <c r="AD22" s="116">
        <f t="shared" ca="1" si="2"/>
        <v>26.955330430974278</v>
      </c>
      <c r="AE22" s="116">
        <f t="shared" ca="1" si="3"/>
        <v>26.955528276102886</v>
      </c>
    </row>
    <row r="23" spans="1:31" ht="13.2" customHeight="1">
      <c r="G23"/>
      <c r="H23"/>
      <c r="Z23" s="117">
        <v>10</v>
      </c>
      <c r="AA23" s="117">
        <f t="shared" si="1"/>
        <v>11.5</v>
      </c>
      <c r="AB23" s="98">
        <f t="shared" ca="1" si="0"/>
        <v>26.954395515074037</v>
      </c>
      <c r="AC23" s="116">
        <v>2</v>
      </c>
      <c r="AD23" s="116">
        <f t="shared" ca="1" si="2"/>
        <v>26.955330430974278</v>
      </c>
      <c r="AE23" s="116">
        <f t="shared" ca="1" si="3"/>
        <v>26.955528276102886</v>
      </c>
    </row>
    <row r="24" spans="1:31" ht="13.2" customHeight="1">
      <c r="G24"/>
      <c r="H24"/>
      <c r="Z24" s="117">
        <v>10.5</v>
      </c>
      <c r="AA24" s="117">
        <f t="shared" si="1"/>
        <v>12.074999999999999</v>
      </c>
      <c r="AB24" s="98">
        <f t="shared" ca="1" si="0"/>
        <v>26.954328984766164</v>
      </c>
      <c r="AC24" s="116">
        <v>3</v>
      </c>
      <c r="AD24" s="116">
        <f t="shared" ca="1" si="2"/>
        <v>26.955330430974278</v>
      </c>
      <c r="AE24" s="116">
        <f t="shared" ca="1" si="3"/>
        <v>26.955528276102886</v>
      </c>
    </row>
    <row r="25" spans="1:31">
      <c r="G25"/>
      <c r="H25"/>
      <c r="Z25" s="117">
        <v>11</v>
      </c>
      <c r="AA25" s="117">
        <f t="shared" si="1"/>
        <v>12.649999999999999</v>
      </c>
      <c r="AB25" s="98">
        <f t="shared" ca="1" si="0"/>
        <v>26.954262454458291</v>
      </c>
      <c r="AC25" s="116">
        <v>4</v>
      </c>
      <c r="AD25" s="116">
        <f t="shared" ca="1" si="2"/>
        <v>26.955330430974278</v>
      </c>
      <c r="AE25" s="116">
        <f t="shared" ca="1" si="3"/>
        <v>26.955528276102886</v>
      </c>
    </row>
    <row r="26" spans="1:31">
      <c r="G26"/>
      <c r="H26"/>
      <c r="Z26" s="117">
        <v>11.5</v>
      </c>
      <c r="AA26" s="117">
        <f t="shared" si="1"/>
        <v>13.225</v>
      </c>
      <c r="AB26" s="98">
        <f t="shared" ca="1" si="0"/>
        <v>26.954195924150419</v>
      </c>
      <c r="AC26" s="116">
        <v>5</v>
      </c>
      <c r="AD26" s="116">
        <f t="shared" ca="1" si="2"/>
        <v>26.955330430974278</v>
      </c>
      <c r="AE26" s="116">
        <f t="shared" ca="1" si="3"/>
        <v>26.955528276102886</v>
      </c>
    </row>
    <row r="27" spans="1:31">
      <c r="G27"/>
      <c r="H27"/>
      <c r="Z27" s="117">
        <v>12</v>
      </c>
      <c r="AA27" s="117">
        <f t="shared" si="1"/>
        <v>13.799999999999999</v>
      </c>
      <c r="AB27" s="98">
        <f t="shared" ca="1" si="0"/>
        <v>26.954129393842546</v>
      </c>
      <c r="AC27" s="116">
        <v>6</v>
      </c>
      <c r="AD27" s="116">
        <f t="shared" ca="1" si="2"/>
        <v>26.955330430974278</v>
      </c>
      <c r="AE27" s="116">
        <f t="shared" ca="1" si="3"/>
        <v>26.955528276102886</v>
      </c>
    </row>
    <row r="28" spans="1:31">
      <c r="G28"/>
      <c r="H28"/>
      <c r="J28" s="194" t="s">
        <v>88</v>
      </c>
      <c r="K28" s="194"/>
      <c r="L28" s="194"/>
      <c r="M28" s="194"/>
      <c r="N28" s="194"/>
      <c r="O28" s="194"/>
      <c r="P28" s="194"/>
      <c r="Z28" s="117">
        <v>12.5</v>
      </c>
      <c r="AA28" s="117">
        <f t="shared" si="1"/>
        <v>14.374999999999998</v>
      </c>
      <c r="AB28" s="98">
        <f t="shared" ca="1" si="0"/>
        <v>26.954062863534674</v>
      </c>
      <c r="AC28" s="116">
        <v>7</v>
      </c>
      <c r="AD28" s="116">
        <f t="shared" ca="1" si="2"/>
        <v>26.955330430974278</v>
      </c>
      <c r="AE28" s="116">
        <f t="shared" ca="1" si="3"/>
        <v>26.955528276102886</v>
      </c>
    </row>
    <row r="29" spans="1:31">
      <c r="A29"/>
      <c r="B29"/>
      <c r="C29"/>
      <c r="D29"/>
      <c r="E29"/>
      <c r="F29"/>
      <c r="G29"/>
      <c r="H29"/>
      <c r="J29" s="194"/>
      <c r="K29" s="194"/>
      <c r="L29" s="194"/>
      <c r="M29" s="194"/>
      <c r="N29" s="194"/>
      <c r="O29" s="194"/>
      <c r="P29" s="194"/>
      <c r="Z29" s="117">
        <v>13</v>
      </c>
      <c r="AA29" s="117">
        <f t="shared" si="1"/>
        <v>14.95</v>
      </c>
      <c r="AB29" s="98">
        <f t="shared" ca="1" si="0"/>
        <v>26.953996333226801</v>
      </c>
      <c r="AC29" s="116">
        <v>8</v>
      </c>
      <c r="AD29" s="116">
        <f t="shared" ca="1" si="2"/>
        <v>26.955330430974278</v>
      </c>
      <c r="AE29" s="116">
        <f t="shared" ca="1" si="3"/>
        <v>26.955528276102886</v>
      </c>
    </row>
    <row r="30" spans="1:31">
      <c r="A30"/>
      <c r="B30"/>
      <c r="C30"/>
      <c r="D30"/>
      <c r="E30"/>
      <c r="F30"/>
      <c r="G30"/>
      <c r="H30"/>
      <c r="J30" s="194"/>
      <c r="K30" s="194"/>
      <c r="L30" s="194"/>
      <c r="M30" s="194"/>
      <c r="N30" s="194"/>
      <c r="O30" s="194"/>
      <c r="P30" s="194"/>
      <c r="Z30" s="117">
        <v>13.5</v>
      </c>
      <c r="AA30" s="117">
        <f t="shared" si="1"/>
        <v>15.524999999999999</v>
      </c>
      <c r="AB30" s="98">
        <f t="shared" ca="1" si="0"/>
        <v>26.953929802918928</v>
      </c>
      <c r="AC30" s="116">
        <v>9</v>
      </c>
      <c r="AD30" s="116">
        <f t="shared" ca="1" si="2"/>
        <v>26.955330430974278</v>
      </c>
      <c r="AE30" s="116">
        <f t="shared" ca="1" si="3"/>
        <v>26.955528276102886</v>
      </c>
    </row>
    <row r="31" spans="1:31">
      <c r="J31" s="194"/>
      <c r="K31" s="194"/>
      <c r="L31" s="194"/>
      <c r="M31" s="194"/>
      <c r="N31" s="194"/>
      <c r="O31" s="194"/>
      <c r="P31" s="194"/>
      <c r="Z31" s="117">
        <v>14</v>
      </c>
      <c r="AA31" s="117">
        <f t="shared" si="1"/>
        <v>16.099999999999998</v>
      </c>
      <c r="AB31" s="98">
        <f t="shared" ca="1" si="0"/>
        <v>26.953863272611056</v>
      </c>
      <c r="AC31" s="116">
        <v>10</v>
      </c>
      <c r="AD31" s="116">
        <f t="shared" ca="1" si="2"/>
        <v>26.955330430974278</v>
      </c>
      <c r="AE31" s="116">
        <f t="shared" ca="1" si="3"/>
        <v>26.955528276102886</v>
      </c>
    </row>
    <row r="32" spans="1:31">
      <c r="J32" s="194"/>
      <c r="K32" s="194"/>
      <c r="L32" s="194"/>
      <c r="M32" s="194"/>
      <c r="N32" s="194"/>
      <c r="O32" s="194"/>
      <c r="P32" s="194"/>
      <c r="Z32" s="117">
        <v>14.5</v>
      </c>
      <c r="AA32" s="117">
        <f t="shared" si="1"/>
        <v>16.674999999999997</v>
      </c>
      <c r="AB32" s="98">
        <f t="shared" ca="1" si="0"/>
        <v>26.953796742303183</v>
      </c>
      <c r="AC32" s="116">
        <v>11</v>
      </c>
      <c r="AD32" s="116">
        <f t="shared" ca="1" si="2"/>
        <v>26.955330430974278</v>
      </c>
      <c r="AE32" s="116">
        <f t="shared" ca="1" si="3"/>
        <v>26.955528276102886</v>
      </c>
    </row>
    <row r="33" spans="26:31">
      <c r="Z33" s="117">
        <v>15</v>
      </c>
      <c r="AA33" s="117">
        <f t="shared" si="1"/>
        <v>17.25</v>
      </c>
      <c r="AB33" s="98">
        <f t="shared" ca="1" si="0"/>
        <v>26.95373021199531</v>
      </c>
      <c r="AC33" s="116">
        <v>12</v>
      </c>
      <c r="AD33" s="116">
        <f t="shared" ca="1" si="2"/>
        <v>26.955330430974278</v>
      </c>
      <c r="AE33" s="116">
        <f t="shared" ca="1" si="3"/>
        <v>26.955528276102886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26.953663681687438</v>
      </c>
      <c r="AC34" s="116">
        <v>13</v>
      </c>
      <c r="AD34" s="116">
        <f t="shared" ca="1" si="2"/>
        <v>26.955330430974278</v>
      </c>
      <c r="AE34" s="116">
        <f t="shared" ca="1" si="3"/>
        <v>26.955528276102886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26.953597151379565</v>
      </c>
      <c r="AC35" s="116">
        <v>14</v>
      </c>
      <c r="AD35" s="116">
        <f t="shared" ca="1" si="2"/>
        <v>26.955330430974278</v>
      </c>
      <c r="AE35" s="116">
        <f t="shared" ca="1" si="3"/>
        <v>26.955528276102886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26.953530621071693</v>
      </c>
      <c r="AC36" s="116">
        <v>15</v>
      </c>
      <c r="AD36" s="116">
        <f t="shared" ca="1" si="2"/>
        <v>26.955330430974278</v>
      </c>
      <c r="AE36" s="116">
        <f t="shared" ca="1" si="3"/>
        <v>26.955528276102886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26.95346409076382</v>
      </c>
      <c r="AC37" s="116">
        <v>16</v>
      </c>
      <c r="AD37" s="116">
        <f t="shared" ca="1" si="2"/>
        <v>26.955330430974278</v>
      </c>
      <c r="AE37" s="116">
        <f t="shared" ca="1" si="3"/>
        <v>26.955528276102886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26.953397560455947</v>
      </c>
      <c r="AC38" s="116">
        <v>17</v>
      </c>
      <c r="AD38" s="116">
        <f t="shared" ca="1" si="2"/>
        <v>26.955330430974278</v>
      </c>
      <c r="AE38" s="116">
        <f t="shared" ca="1" si="3"/>
        <v>26.955528276102886</v>
      </c>
    </row>
    <row r="39" spans="26:31">
      <c r="Z39" s="117">
        <v>18</v>
      </c>
      <c r="AA39" s="117">
        <f t="shared" si="1"/>
        <v>20.7</v>
      </c>
      <c r="AB39" s="98">
        <f t="shared" ca="1" si="0"/>
        <v>26.953331030148075</v>
      </c>
      <c r="AC39" s="116">
        <v>18</v>
      </c>
      <c r="AD39" s="116">
        <f t="shared" ca="1" si="2"/>
        <v>26.955330430974278</v>
      </c>
      <c r="AE39" s="116">
        <f t="shared" ca="1" si="3"/>
        <v>26.955528276102886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26.953264499840202</v>
      </c>
      <c r="AC40" s="116">
        <v>19</v>
      </c>
      <c r="AD40" s="116">
        <f t="shared" ca="1" si="2"/>
        <v>26.955330430974278</v>
      </c>
      <c r="AE40" s="116">
        <f t="shared" ca="1" si="3"/>
        <v>26.955528276102886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26.953197969532329</v>
      </c>
      <c r="AC41" s="116">
        <v>20</v>
      </c>
      <c r="AD41" s="116">
        <f t="shared" ca="1" si="2"/>
        <v>26.955330430974278</v>
      </c>
      <c r="AE41" s="116">
        <f t="shared" ca="1" si="3"/>
        <v>26.955528276102886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26.953131439224457</v>
      </c>
    </row>
    <row r="43" spans="26:31">
      <c r="Z43" s="117">
        <v>20</v>
      </c>
      <c r="AA43" s="117">
        <f t="shared" si="1"/>
        <v>23</v>
      </c>
      <c r="AB43" s="98">
        <f t="shared" ca="1" si="0"/>
        <v>26.953064908916584</v>
      </c>
    </row>
    <row r="61" spans="1:2">
      <c r="A61" s="188" t="s">
        <v>127</v>
      </c>
      <c r="B61" s="188"/>
    </row>
    <row r="62" spans="1:2">
      <c r="A62" s="91" t="s">
        <v>114</v>
      </c>
      <c r="B62" s="91" t="s">
        <v>115</v>
      </c>
    </row>
  </sheetData>
  <mergeCells count="12">
    <mergeCell ref="Z1:AB1"/>
    <mergeCell ref="Y2:Y3"/>
    <mergeCell ref="J28:P32"/>
    <mergeCell ref="E16:E17"/>
    <mergeCell ref="F16:F17"/>
    <mergeCell ref="E20:E21"/>
    <mergeCell ref="F20:F21"/>
    <mergeCell ref="A1:D2"/>
    <mergeCell ref="A6:D7"/>
    <mergeCell ref="A8:B8"/>
    <mergeCell ref="D8:E8"/>
    <mergeCell ref="A61:B6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2065" r:id="rId3" name="Scroll Bar 17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066" r:id="rId4" name="Scroll Bar 18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E62"/>
  <sheetViews>
    <sheetView workbookViewId="0">
      <selection activeCell="A5" sqref="A5"/>
    </sheetView>
  </sheetViews>
  <sheetFormatPr defaultRowHeight="13.2"/>
  <cols>
    <col min="1" max="4" width="8.88671875" style="40"/>
    <col min="5" max="5" width="11.109375" style="40" bestFit="1" customWidth="1"/>
    <col min="6" max="22" width="8.88671875" style="40"/>
    <col min="23" max="28" width="8.88671875" style="117"/>
    <col min="29" max="29" width="19.88671875" style="117" customWidth="1"/>
    <col min="30" max="31" width="8.88671875" style="117" customWidth="1"/>
    <col min="32" max="16384" width="8.88671875" style="40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/>
      <c r="H1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/>
      <c r="H2"/>
      <c r="W2" s="117">
        <v>0</v>
      </c>
      <c r="X2" s="117">
        <f>D$4*W2+C$4</f>
        <v>26.955653090044315</v>
      </c>
      <c r="Y2" s="193">
        <f ca="1">SLOPE(X2:X3,W2:W3)</f>
        <v>-1.3269177103699813E-3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/>
      <c r="H3"/>
      <c r="W3" s="117">
        <f ca="1">INDIRECT("data!"&amp;A62&amp;A4)</f>
        <v>2.8284271247461903</v>
      </c>
      <c r="X3" s="98">
        <f ca="1">INDIRECT("data!"&amp;$B$62&amp;A4)</f>
        <v>26.951899999999998</v>
      </c>
      <c r="Y3" s="193"/>
      <c r="Z3" s="117">
        <v>0</v>
      </c>
      <c r="AA3" s="117">
        <v>0</v>
      </c>
      <c r="AB3" s="98">
        <f t="shared" ref="AB3:AB43" ca="1" si="0">Y$2*Z3+C$4</f>
        <v>26.955653090044315</v>
      </c>
    </row>
    <row r="4" spans="1:30">
      <c r="A4" s="118">
        <v>17</v>
      </c>
      <c r="B4" s="119">
        <v>0.96629691626401815</v>
      </c>
      <c r="C4" s="98">
        <v>26.955653090044315</v>
      </c>
      <c r="D4" s="115">
        <v>-1.3785939420873467E-3</v>
      </c>
      <c r="E4" s="117"/>
      <c r="F4" s="117"/>
      <c r="G4"/>
      <c r="H4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26.954989631189129</v>
      </c>
    </row>
    <row r="5" spans="1:30">
      <c r="A5" s="117"/>
      <c r="B5" s="117"/>
      <c r="C5" s="117"/>
      <c r="D5" s="117"/>
      <c r="E5" s="117"/>
      <c r="F5" s="117"/>
      <c r="G5"/>
      <c r="H5"/>
      <c r="W5" s="98"/>
      <c r="Z5" s="117">
        <v>1</v>
      </c>
      <c r="AA5" s="117">
        <f t="shared" si="1"/>
        <v>1.1499999999999999</v>
      </c>
      <c r="AB5" s="98">
        <f t="shared" ca="1" si="0"/>
        <v>26.954326172333946</v>
      </c>
    </row>
    <row r="6" spans="1:30">
      <c r="A6" s="189" t="s">
        <v>86</v>
      </c>
      <c r="B6" s="189"/>
      <c r="C6" s="189"/>
      <c r="D6" s="189"/>
      <c r="E6" s="117"/>
      <c r="F6" s="115"/>
      <c r="G6"/>
      <c r="H6"/>
      <c r="W6" s="98"/>
      <c r="Z6" s="117">
        <v>1.5</v>
      </c>
      <c r="AA6" s="117">
        <f t="shared" si="1"/>
        <v>1.7249999999999999</v>
      </c>
      <c r="AB6" s="98">
        <f t="shared" ca="1" si="0"/>
        <v>26.95366271347876</v>
      </c>
      <c r="AD6" s="115"/>
    </row>
    <row r="7" spans="1:30">
      <c r="A7" s="189"/>
      <c r="B7" s="189"/>
      <c r="C7" s="189"/>
      <c r="D7" s="189"/>
      <c r="E7" s="115"/>
      <c r="F7" s="115"/>
      <c r="G7"/>
      <c r="H7"/>
      <c r="W7" s="98"/>
      <c r="Z7" s="117">
        <v>2</v>
      </c>
      <c r="AA7" s="117">
        <f t="shared" si="1"/>
        <v>2.2999999999999998</v>
      </c>
      <c r="AB7" s="98">
        <f t="shared" ca="1" si="0"/>
        <v>26.952999254623574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/>
      <c r="H8"/>
      <c r="W8" s="98"/>
      <c r="Z8" s="117">
        <v>2.5</v>
      </c>
      <c r="AA8" s="117">
        <f t="shared" si="1"/>
        <v>2.875</v>
      </c>
      <c r="AB8" s="98">
        <f t="shared" ca="1" si="0"/>
        <v>26.952335795768391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/>
      <c r="H9"/>
      <c r="W9" s="98"/>
      <c r="Z9" s="117">
        <v>3</v>
      </c>
      <c r="AA9" s="117">
        <f t="shared" si="1"/>
        <v>3.4499999999999997</v>
      </c>
      <c r="AB9" s="98">
        <f t="shared" ca="1" si="0"/>
        <v>26.951672336913205</v>
      </c>
      <c r="AD9" s="115"/>
    </row>
    <row r="10" spans="1:30" ht="15.6">
      <c r="A10" s="117">
        <f ca="1">D13</f>
        <v>3.3284271247461903</v>
      </c>
      <c r="B10" s="98">
        <f ca="1">E13</f>
        <v>26.951599999999999</v>
      </c>
      <c r="C10" s="115"/>
      <c r="D10" s="120" t="s">
        <v>80</v>
      </c>
      <c r="E10" s="120" t="s">
        <v>79</v>
      </c>
      <c r="F10" s="117"/>
      <c r="G10"/>
      <c r="H10"/>
      <c r="W10" s="98"/>
      <c r="Z10" s="117">
        <v>3.5</v>
      </c>
      <c r="AA10" s="117">
        <f t="shared" si="1"/>
        <v>4.0249999999999995</v>
      </c>
      <c r="AB10" s="98">
        <f t="shared" ca="1" si="0"/>
        <v>26.951008878058019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2.8284271247461903</v>
      </c>
      <c r="E11" s="5">
        <f ca="1">INDIRECT("data!"&amp;$B$62&amp;A4+2)</f>
        <v>26.9512</v>
      </c>
      <c r="F11" s="116" t="s">
        <v>94</v>
      </c>
      <c r="G11"/>
      <c r="H11"/>
      <c r="W11" s="98"/>
      <c r="Z11" s="117">
        <v>4</v>
      </c>
      <c r="AA11" s="117">
        <f t="shared" si="1"/>
        <v>4.5999999999999996</v>
      </c>
      <c r="AB11" s="98">
        <f t="shared" ca="1" si="0"/>
        <v>26.950345419202836</v>
      </c>
      <c r="AD11" s="115"/>
    </row>
    <row r="12" spans="1:30" ht="13.2" customHeight="1">
      <c r="A12" s="117"/>
      <c r="B12" s="117"/>
      <c r="C12" s="117"/>
      <c r="D12" s="5">
        <v>5</v>
      </c>
      <c r="E12" s="5">
        <v>4</v>
      </c>
      <c r="F12" s="117"/>
      <c r="G12"/>
      <c r="H12"/>
      <c r="W12" s="98"/>
      <c r="Z12" s="117">
        <v>4.5</v>
      </c>
      <c r="AA12" s="117">
        <f t="shared" si="1"/>
        <v>5.1749999999999998</v>
      </c>
      <c r="AB12" s="98">
        <f t="shared" ca="1" si="0"/>
        <v>26.94968196034765</v>
      </c>
      <c r="AD12" s="115"/>
    </row>
    <row r="13" spans="1:30">
      <c r="A13" s="117"/>
      <c r="B13" s="117"/>
      <c r="C13" s="117"/>
      <c r="D13" s="5">
        <f ca="1">D12*D9+D11</f>
        <v>3.3284271247461903</v>
      </c>
      <c r="E13" s="5">
        <f ca="1">E12*E9+E11</f>
        <v>26.951599999999999</v>
      </c>
      <c r="F13" s="117"/>
      <c r="G13"/>
      <c r="H13"/>
      <c r="W13" s="98"/>
      <c r="Z13" s="117">
        <v>5</v>
      </c>
      <c r="AA13" s="117">
        <f t="shared" si="1"/>
        <v>5.75</v>
      </c>
      <c r="AB13" s="98">
        <f t="shared" ca="1" si="0"/>
        <v>26.949018501492464</v>
      </c>
      <c r="AD13" s="115"/>
    </row>
    <row r="14" spans="1:30">
      <c r="A14"/>
      <c r="B14"/>
      <c r="C14"/>
      <c r="D14"/>
      <c r="E14"/>
      <c r="F14"/>
      <c r="G14"/>
      <c r="H14"/>
      <c r="W14" s="98"/>
      <c r="Z14" s="117">
        <v>5.5</v>
      </c>
      <c r="AA14" s="117">
        <f t="shared" si="1"/>
        <v>6.3249999999999993</v>
      </c>
      <c r="AB14" s="98">
        <f t="shared" ca="1" si="0"/>
        <v>26.948355042637282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/>
      <c r="H15"/>
      <c r="W15" s="98"/>
      <c r="Z15" s="117">
        <v>6</v>
      </c>
      <c r="AA15" s="117">
        <f t="shared" si="1"/>
        <v>6.8999999999999995</v>
      </c>
      <c r="AB15" s="98">
        <f t="shared" ca="1" si="0"/>
        <v>26.947691583782095</v>
      </c>
      <c r="AD15" s="115"/>
    </row>
    <row r="16" spans="1:30" ht="15.6">
      <c r="A16" s="29" t="s">
        <v>81</v>
      </c>
      <c r="B16" s="24">
        <f ca="1">B17-1</f>
        <v>19</v>
      </c>
      <c r="C16" s="125">
        <f ca="1">INDIRECT("data!"&amp;$A$62&amp;B16)</f>
        <v>5.4772255750516612</v>
      </c>
      <c r="D16" s="125">
        <f ca="1">INDIRECT("data!"&amp;$B$62&amp;B16)</f>
        <v>26.9512</v>
      </c>
      <c r="E16" s="187">
        <f ca="1">FORECAST(A17,C16:C17,D16:D17)</f>
        <v>6.466991568217054</v>
      </c>
      <c r="F16" s="195" t="s">
        <v>93</v>
      </c>
      <c r="G16"/>
      <c r="H16"/>
      <c r="W16" s="98"/>
      <c r="Z16" s="117">
        <v>6.5</v>
      </c>
      <c r="AA16" s="117">
        <f t="shared" si="1"/>
        <v>7.4749999999999996</v>
      </c>
      <c r="AB16" s="98">
        <f t="shared" ca="1" si="0"/>
        <v>26.947028124926909</v>
      </c>
      <c r="AD16" s="115"/>
    </row>
    <row r="17" spans="1:31">
      <c r="A17" s="126">
        <f ca="1">B10+(1/9)*(B10-C4)</f>
        <v>26.951149656661741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20</v>
      </c>
      <c r="C17" s="125">
        <f ca="1">INDIRECT("data!"&amp;$A$62&amp;B17)</f>
        <v>10.392304845413264</v>
      </c>
      <c r="D17" s="125">
        <f ca="1">INDIRECT("data!"&amp;$B$62&amp;B17)</f>
        <v>26.950949999999999</v>
      </c>
      <c r="E17" s="187"/>
      <c r="F17" s="187"/>
      <c r="G17"/>
      <c r="H17"/>
      <c r="W17" s="98"/>
      <c r="Z17" s="117">
        <v>7</v>
      </c>
      <c r="AA17" s="117">
        <f t="shared" si="1"/>
        <v>8.0499999999999989</v>
      </c>
      <c r="AB17" s="98">
        <f t="shared" ca="1" si="0"/>
        <v>26.946364666071727</v>
      </c>
      <c r="AD17" s="115"/>
    </row>
    <row r="18" spans="1:31">
      <c r="A18" s="5"/>
      <c r="B18" s="24"/>
      <c r="C18" s="5"/>
      <c r="D18" s="5"/>
      <c r="E18" s="5"/>
      <c r="F18" s="5"/>
      <c r="G18"/>
      <c r="H18"/>
      <c r="W18" s="98"/>
      <c r="Z18" s="117">
        <v>7.5</v>
      </c>
      <c r="AA18" s="117">
        <f t="shared" si="1"/>
        <v>8.625</v>
      </c>
      <c r="AB18" s="98">
        <f t="shared" ca="1" si="0"/>
        <v>26.94570120721654</v>
      </c>
      <c r="AD18" s="115"/>
    </row>
    <row r="19" spans="1:31">
      <c r="A19" s="5"/>
      <c r="B19" s="24"/>
      <c r="C19" s="5"/>
      <c r="D19" s="5"/>
      <c r="E19" s="5"/>
      <c r="F19" s="5"/>
      <c r="G19"/>
      <c r="H19"/>
      <c r="Z19" s="117">
        <v>8</v>
      </c>
      <c r="AA19" s="117">
        <f t="shared" si="1"/>
        <v>9.1999999999999993</v>
      </c>
      <c r="AB19" s="98">
        <f t="shared" ca="1" si="0"/>
        <v>26.945037748361354</v>
      </c>
    </row>
    <row r="20" spans="1:31" ht="15.6">
      <c r="A20" s="29" t="s">
        <v>82</v>
      </c>
      <c r="B20" s="24">
        <f ca="1">B21-1</f>
        <v>15</v>
      </c>
      <c r="C20" s="125">
        <f ca="1">INDIRECT("data!"&amp;$A$62&amp;B20)</f>
        <v>1.4142135623730951</v>
      </c>
      <c r="D20" s="125">
        <f ca="1">INDIRECT("data!"&amp;$B$62&amp;B20)</f>
        <v>26.95345</v>
      </c>
      <c r="E20" s="187">
        <f ca="1">FORECAST(A21,C20:C21,D20:D21)</f>
        <v>1.4498196002496115</v>
      </c>
      <c r="F20" s="195" t="s">
        <v>92</v>
      </c>
      <c r="G20"/>
      <c r="H20"/>
      <c r="Z20" s="117">
        <v>8.5</v>
      </c>
      <c r="AA20" s="117">
        <f t="shared" si="1"/>
        <v>9.7749999999999986</v>
      </c>
      <c r="AB20" s="98">
        <f t="shared" ca="1" si="0"/>
        <v>26.944374289506172</v>
      </c>
      <c r="AD20" s="121" t="s">
        <v>83</v>
      </c>
      <c r="AE20" s="121" t="s">
        <v>84</v>
      </c>
    </row>
    <row r="21" spans="1:31">
      <c r="A21" s="126">
        <f ca="1">A17-(5/9)*(B10-C4)</f>
        <v>26.953401373353028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16</v>
      </c>
      <c r="C21" s="125">
        <f ca="1">INDIRECT("data!"&amp;$A$62&amp;B21)</f>
        <v>2</v>
      </c>
      <c r="D21" s="125">
        <f ca="1">INDIRECT("data!"&amp;$B$62&amp;B21)</f>
        <v>26.952649999999998</v>
      </c>
      <c r="E21" s="187"/>
      <c r="F21" s="195"/>
      <c r="G21"/>
      <c r="H21"/>
      <c r="Z21" s="117">
        <v>9</v>
      </c>
      <c r="AA21" s="117">
        <f t="shared" si="1"/>
        <v>10.35</v>
      </c>
      <c r="AB21" s="98">
        <f t="shared" ca="1" si="0"/>
        <v>26.943710830650986</v>
      </c>
      <c r="AC21" s="116">
        <v>0</v>
      </c>
      <c r="AD21" s="116">
        <f t="shared" ref="AD21:AD41" ca="1" si="2">A$17</f>
        <v>26.951149656661741</v>
      </c>
      <c r="AE21" s="116">
        <f t="shared" ref="AE21:AE41" ca="1" si="3">A$21</f>
        <v>26.953401373353028</v>
      </c>
    </row>
    <row r="22" spans="1:31">
      <c r="G22"/>
      <c r="H22"/>
      <c r="Z22" s="117">
        <v>9.5</v>
      </c>
      <c r="AA22" s="117">
        <f t="shared" si="1"/>
        <v>10.924999999999999</v>
      </c>
      <c r="AB22" s="98">
        <f t="shared" ca="1" si="0"/>
        <v>26.943047371795799</v>
      </c>
      <c r="AC22" s="116">
        <v>1</v>
      </c>
      <c r="AD22" s="116">
        <f t="shared" ca="1" si="2"/>
        <v>26.951149656661741</v>
      </c>
      <c r="AE22" s="116">
        <f t="shared" ca="1" si="3"/>
        <v>26.953401373353028</v>
      </c>
    </row>
    <row r="23" spans="1:31" ht="13.2" customHeight="1">
      <c r="G23"/>
      <c r="H23"/>
      <c r="Z23" s="117">
        <v>10</v>
      </c>
      <c r="AA23" s="117">
        <f t="shared" si="1"/>
        <v>11.5</v>
      </c>
      <c r="AB23" s="98">
        <f t="shared" ca="1" si="0"/>
        <v>26.942383912940617</v>
      </c>
      <c r="AC23" s="116">
        <v>2</v>
      </c>
      <c r="AD23" s="116">
        <f t="shared" ca="1" si="2"/>
        <v>26.951149656661741</v>
      </c>
      <c r="AE23" s="116">
        <f t="shared" ca="1" si="3"/>
        <v>26.953401373353028</v>
      </c>
    </row>
    <row r="24" spans="1:31" ht="13.2" customHeight="1">
      <c r="G24"/>
      <c r="H24"/>
      <c r="Z24" s="117">
        <v>10.5</v>
      </c>
      <c r="AA24" s="117">
        <f t="shared" si="1"/>
        <v>12.074999999999999</v>
      </c>
      <c r="AB24" s="98">
        <f t="shared" ca="1" si="0"/>
        <v>26.941720454085431</v>
      </c>
      <c r="AC24" s="116">
        <v>3</v>
      </c>
      <c r="AD24" s="116">
        <f t="shared" ca="1" si="2"/>
        <v>26.951149656661741</v>
      </c>
      <c r="AE24" s="116">
        <f t="shared" ca="1" si="3"/>
        <v>26.953401373353028</v>
      </c>
    </row>
    <row r="25" spans="1:31">
      <c r="G25"/>
      <c r="H25"/>
      <c r="Z25" s="117">
        <v>11</v>
      </c>
      <c r="AA25" s="117">
        <f t="shared" si="1"/>
        <v>12.649999999999999</v>
      </c>
      <c r="AB25" s="98">
        <f t="shared" ca="1" si="0"/>
        <v>26.941056995230245</v>
      </c>
      <c r="AC25" s="116">
        <v>4</v>
      </c>
      <c r="AD25" s="116">
        <f t="shared" ca="1" si="2"/>
        <v>26.951149656661741</v>
      </c>
      <c r="AE25" s="116">
        <f t="shared" ca="1" si="3"/>
        <v>26.953401373353028</v>
      </c>
    </row>
    <row r="26" spans="1:31">
      <c r="G26"/>
      <c r="H26"/>
      <c r="Z26" s="117">
        <v>11.5</v>
      </c>
      <c r="AA26" s="117">
        <f t="shared" si="1"/>
        <v>13.225</v>
      </c>
      <c r="AB26" s="98">
        <f t="shared" ca="1" si="0"/>
        <v>26.940393536375062</v>
      </c>
      <c r="AC26" s="116">
        <v>5</v>
      </c>
      <c r="AD26" s="116">
        <f t="shared" ca="1" si="2"/>
        <v>26.951149656661741</v>
      </c>
      <c r="AE26" s="116">
        <f t="shared" ca="1" si="3"/>
        <v>26.953401373353028</v>
      </c>
    </row>
    <row r="27" spans="1:31">
      <c r="G27"/>
      <c r="H27"/>
      <c r="Z27" s="117">
        <v>12</v>
      </c>
      <c r="AA27" s="117">
        <f t="shared" si="1"/>
        <v>13.799999999999999</v>
      </c>
      <c r="AB27" s="98">
        <f t="shared" ca="1" si="0"/>
        <v>26.939730077519876</v>
      </c>
      <c r="AC27" s="116">
        <v>6</v>
      </c>
      <c r="AD27" s="116">
        <f t="shared" ca="1" si="2"/>
        <v>26.951149656661741</v>
      </c>
      <c r="AE27" s="116">
        <f t="shared" ca="1" si="3"/>
        <v>26.953401373353028</v>
      </c>
    </row>
    <row r="28" spans="1:31">
      <c r="G28"/>
      <c r="H28"/>
      <c r="J28" s="194" t="s">
        <v>88</v>
      </c>
      <c r="K28" s="194"/>
      <c r="L28" s="194"/>
      <c r="M28" s="194"/>
      <c r="N28" s="194"/>
      <c r="O28" s="194"/>
      <c r="P28" s="194"/>
      <c r="Z28" s="117">
        <v>12.5</v>
      </c>
      <c r="AA28" s="117">
        <f t="shared" si="1"/>
        <v>14.374999999999998</v>
      </c>
      <c r="AB28" s="98">
        <f t="shared" ca="1" si="0"/>
        <v>26.93906661866469</v>
      </c>
      <c r="AC28" s="116">
        <v>7</v>
      </c>
      <c r="AD28" s="116">
        <f t="shared" ca="1" si="2"/>
        <v>26.951149656661741</v>
      </c>
      <c r="AE28" s="116">
        <f t="shared" ca="1" si="3"/>
        <v>26.953401373353028</v>
      </c>
    </row>
    <row r="29" spans="1:31">
      <c r="A29"/>
      <c r="B29"/>
      <c r="C29"/>
      <c r="D29"/>
      <c r="E29"/>
      <c r="F29"/>
      <c r="G29"/>
      <c r="H29"/>
      <c r="J29" s="194"/>
      <c r="K29" s="194"/>
      <c r="L29" s="194"/>
      <c r="M29" s="194"/>
      <c r="N29" s="194"/>
      <c r="O29" s="194"/>
      <c r="P29" s="194"/>
      <c r="Z29" s="117">
        <v>13</v>
      </c>
      <c r="AA29" s="117">
        <f t="shared" si="1"/>
        <v>14.95</v>
      </c>
      <c r="AB29" s="98">
        <f t="shared" ca="1" si="0"/>
        <v>26.938403159809504</v>
      </c>
      <c r="AC29" s="116">
        <v>8</v>
      </c>
      <c r="AD29" s="116">
        <f t="shared" ca="1" si="2"/>
        <v>26.951149656661741</v>
      </c>
      <c r="AE29" s="116">
        <f t="shared" ca="1" si="3"/>
        <v>26.953401373353028</v>
      </c>
    </row>
    <row r="30" spans="1:31">
      <c r="A30"/>
      <c r="B30"/>
      <c r="C30"/>
      <c r="D30"/>
      <c r="E30"/>
      <c r="F30"/>
      <c r="G30"/>
      <c r="H30"/>
      <c r="J30" s="194"/>
      <c r="K30" s="194"/>
      <c r="L30" s="194"/>
      <c r="M30" s="194"/>
      <c r="N30" s="194"/>
      <c r="O30" s="194"/>
      <c r="P30" s="194"/>
      <c r="Z30" s="117">
        <v>13.5</v>
      </c>
      <c r="AA30" s="117">
        <f t="shared" si="1"/>
        <v>15.524999999999999</v>
      </c>
      <c r="AB30" s="98">
        <f t="shared" ca="1" si="0"/>
        <v>26.937739700954321</v>
      </c>
      <c r="AC30" s="116">
        <v>9</v>
      </c>
      <c r="AD30" s="116">
        <f t="shared" ca="1" si="2"/>
        <v>26.951149656661741</v>
      </c>
      <c r="AE30" s="116">
        <f t="shared" ca="1" si="3"/>
        <v>26.953401373353028</v>
      </c>
    </row>
    <row r="31" spans="1:31">
      <c r="J31" s="194"/>
      <c r="K31" s="194"/>
      <c r="L31" s="194"/>
      <c r="M31" s="194"/>
      <c r="N31" s="194"/>
      <c r="O31" s="194"/>
      <c r="P31" s="194"/>
      <c r="Z31" s="117">
        <v>14</v>
      </c>
      <c r="AA31" s="117">
        <f t="shared" si="1"/>
        <v>16.099999999999998</v>
      </c>
      <c r="AB31" s="98">
        <f t="shared" ca="1" si="0"/>
        <v>26.937076242099135</v>
      </c>
      <c r="AC31" s="116">
        <v>10</v>
      </c>
      <c r="AD31" s="116">
        <f t="shared" ca="1" si="2"/>
        <v>26.951149656661741</v>
      </c>
      <c r="AE31" s="116">
        <f t="shared" ca="1" si="3"/>
        <v>26.953401373353028</v>
      </c>
    </row>
    <row r="32" spans="1:31">
      <c r="J32" s="194"/>
      <c r="K32" s="194"/>
      <c r="L32" s="194"/>
      <c r="M32" s="194"/>
      <c r="N32" s="194"/>
      <c r="O32" s="194"/>
      <c r="P32" s="194"/>
      <c r="Z32" s="117">
        <v>14.5</v>
      </c>
      <c r="AA32" s="117">
        <f t="shared" si="1"/>
        <v>16.674999999999997</v>
      </c>
      <c r="AB32" s="98">
        <f t="shared" ca="1" si="0"/>
        <v>26.936412783243949</v>
      </c>
      <c r="AC32" s="116">
        <v>11</v>
      </c>
      <c r="AD32" s="116">
        <f t="shared" ca="1" si="2"/>
        <v>26.951149656661741</v>
      </c>
      <c r="AE32" s="116">
        <f t="shared" ca="1" si="3"/>
        <v>26.953401373353028</v>
      </c>
    </row>
    <row r="33" spans="26:31">
      <c r="Z33" s="117">
        <v>15</v>
      </c>
      <c r="AA33" s="117">
        <f t="shared" si="1"/>
        <v>17.25</v>
      </c>
      <c r="AB33" s="98">
        <f t="shared" ca="1" si="0"/>
        <v>26.935749324388766</v>
      </c>
      <c r="AC33" s="116">
        <v>12</v>
      </c>
      <c r="AD33" s="116">
        <f t="shared" ca="1" si="2"/>
        <v>26.951149656661741</v>
      </c>
      <c r="AE33" s="116">
        <f t="shared" ca="1" si="3"/>
        <v>26.953401373353028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26.93508586553358</v>
      </c>
      <c r="AC34" s="116">
        <v>13</v>
      </c>
      <c r="AD34" s="116">
        <f t="shared" ca="1" si="2"/>
        <v>26.951149656661741</v>
      </c>
      <c r="AE34" s="116">
        <f t="shared" ca="1" si="3"/>
        <v>26.953401373353028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26.934422406678394</v>
      </c>
      <c r="AC35" s="116">
        <v>14</v>
      </c>
      <c r="AD35" s="116">
        <f t="shared" ca="1" si="2"/>
        <v>26.951149656661741</v>
      </c>
      <c r="AE35" s="116">
        <f t="shared" ca="1" si="3"/>
        <v>26.953401373353028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26.933758947823211</v>
      </c>
      <c r="AC36" s="116">
        <v>15</v>
      </c>
      <c r="AD36" s="116">
        <f t="shared" ca="1" si="2"/>
        <v>26.951149656661741</v>
      </c>
      <c r="AE36" s="116">
        <f t="shared" ca="1" si="3"/>
        <v>26.953401373353028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26.933095488968025</v>
      </c>
      <c r="AC37" s="116">
        <v>16</v>
      </c>
      <c r="AD37" s="116">
        <f t="shared" ca="1" si="2"/>
        <v>26.951149656661741</v>
      </c>
      <c r="AE37" s="116">
        <f t="shared" ca="1" si="3"/>
        <v>26.953401373353028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26.932432030112839</v>
      </c>
      <c r="AC38" s="116">
        <v>17</v>
      </c>
      <c r="AD38" s="116">
        <f t="shared" ca="1" si="2"/>
        <v>26.951149656661741</v>
      </c>
      <c r="AE38" s="116">
        <f t="shared" ca="1" si="3"/>
        <v>26.953401373353028</v>
      </c>
    </row>
    <row r="39" spans="26:31">
      <c r="Z39" s="117">
        <v>18</v>
      </c>
      <c r="AA39" s="117">
        <f t="shared" si="1"/>
        <v>20.7</v>
      </c>
      <c r="AB39" s="98">
        <f t="shared" ca="1" si="0"/>
        <v>26.931768571257656</v>
      </c>
      <c r="AC39" s="116">
        <v>18</v>
      </c>
      <c r="AD39" s="116">
        <f t="shared" ca="1" si="2"/>
        <v>26.951149656661741</v>
      </c>
      <c r="AE39" s="116">
        <f t="shared" ca="1" si="3"/>
        <v>26.953401373353028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26.93110511240247</v>
      </c>
      <c r="AC40" s="116">
        <v>19</v>
      </c>
      <c r="AD40" s="116">
        <f t="shared" ca="1" si="2"/>
        <v>26.951149656661741</v>
      </c>
      <c r="AE40" s="116">
        <f t="shared" ca="1" si="3"/>
        <v>26.953401373353028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26.930441653547284</v>
      </c>
      <c r="AC41" s="116">
        <v>20</v>
      </c>
      <c r="AD41" s="116">
        <f t="shared" ca="1" si="2"/>
        <v>26.951149656661741</v>
      </c>
      <c r="AE41" s="116">
        <f t="shared" ca="1" si="3"/>
        <v>26.953401373353028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26.929778194692101</v>
      </c>
    </row>
    <row r="43" spans="26:31">
      <c r="Z43" s="117">
        <v>20</v>
      </c>
      <c r="AA43" s="117">
        <f t="shared" si="1"/>
        <v>23</v>
      </c>
      <c r="AB43" s="98">
        <f t="shared" ca="1" si="0"/>
        <v>26.929114735836915</v>
      </c>
    </row>
    <row r="61" spans="1:2">
      <c r="A61" s="188" t="s">
        <v>127</v>
      </c>
      <c r="B61" s="188"/>
    </row>
    <row r="62" spans="1:2">
      <c r="A62" s="91" t="s">
        <v>116</v>
      </c>
      <c r="B62" s="91" t="s">
        <v>117</v>
      </c>
    </row>
  </sheetData>
  <mergeCells count="12">
    <mergeCell ref="Z1:AB1"/>
    <mergeCell ref="Y2:Y3"/>
    <mergeCell ref="J28:P32"/>
    <mergeCell ref="E16:E17"/>
    <mergeCell ref="F16:F17"/>
    <mergeCell ref="E20:E21"/>
    <mergeCell ref="F20:F21"/>
    <mergeCell ref="A1:D2"/>
    <mergeCell ref="A6:D7"/>
    <mergeCell ref="A8:B8"/>
    <mergeCell ref="D8:E8"/>
    <mergeCell ref="A61:B6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3081" r:id="rId3" name="Scroll Bar 9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082" r:id="rId4" name="Scroll Bar 10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E62"/>
  <sheetViews>
    <sheetView workbookViewId="0">
      <selection activeCell="A5" sqref="A5"/>
    </sheetView>
  </sheetViews>
  <sheetFormatPr defaultRowHeight="13.2"/>
  <cols>
    <col min="1" max="4" width="8.88671875" style="40"/>
    <col min="5" max="5" width="11.109375" style="40" bestFit="1" customWidth="1"/>
    <col min="6" max="22" width="8.88671875" style="40"/>
    <col min="23" max="28" width="8.88671875" style="117"/>
    <col min="29" max="29" width="19.88671875" style="117" customWidth="1"/>
    <col min="30" max="31" width="8.88671875" style="117" customWidth="1"/>
    <col min="32" max="16384" width="8.88671875" style="40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 s="122"/>
      <c r="H1" s="122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 s="122"/>
      <c r="H2" s="122"/>
      <c r="W2" s="117">
        <v>0</v>
      </c>
      <c r="X2" s="117">
        <f>D$4*W2+C$4</f>
        <v>26.949894720254786</v>
      </c>
      <c r="Y2" s="193">
        <f ca="1">SLOPE(X2:X3,W2:W3)</f>
        <v>-3.6397332512893331E-3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 s="122"/>
      <c r="H3" s="122"/>
      <c r="W3" s="117">
        <f ca="1">INDIRECT("data!"&amp;A62&amp;A4)</f>
        <v>2.8284271247461903</v>
      </c>
      <c r="X3" s="98">
        <f ca="1">INDIRECT("data!"&amp;$B$62&amp;A4)</f>
        <v>26.939599999999999</v>
      </c>
      <c r="Y3" s="193"/>
      <c r="Z3" s="117">
        <v>0</v>
      </c>
      <c r="AA3" s="117">
        <v>0</v>
      </c>
      <c r="AB3" s="98">
        <f t="shared" ref="AB3:AB43" ca="1" si="0">Y$2*Z3+C$4</f>
        <v>26.949894720254786</v>
      </c>
    </row>
    <row r="4" spans="1:30">
      <c r="A4" s="118">
        <v>17</v>
      </c>
      <c r="B4" s="119">
        <v>0.9894965876684666</v>
      </c>
      <c r="C4" s="98">
        <v>26.949894720254786</v>
      </c>
      <c r="D4" s="115">
        <v>-3.8224796605711834E-3</v>
      </c>
      <c r="E4" s="117"/>
      <c r="F4" s="117"/>
      <c r="G4" s="122"/>
      <c r="H4" s="122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26.948074853629141</v>
      </c>
    </row>
    <row r="5" spans="1:30">
      <c r="A5" s="117"/>
      <c r="B5" s="117"/>
      <c r="C5" s="117"/>
      <c r="D5" s="117"/>
      <c r="E5" s="117"/>
      <c r="F5" s="117"/>
      <c r="G5" s="122"/>
      <c r="H5" s="122"/>
      <c r="W5" s="98"/>
      <c r="Z5" s="117">
        <v>1</v>
      </c>
      <c r="AA5" s="117">
        <f t="shared" si="1"/>
        <v>1.1499999999999999</v>
      </c>
      <c r="AB5" s="98">
        <f t="shared" ca="1" si="0"/>
        <v>26.946254987003496</v>
      </c>
    </row>
    <row r="6" spans="1:30">
      <c r="A6" s="189" t="s">
        <v>86</v>
      </c>
      <c r="B6" s="189"/>
      <c r="C6" s="189"/>
      <c r="D6" s="189"/>
      <c r="E6" s="117"/>
      <c r="F6" s="115"/>
      <c r="G6" s="122"/>
      <c r="H6" s="122"/>
      <c r="W6" s="98"/>
      <c r="Z6" s="117">
        <v>1.5</v>
      </c>
      <c r="AA6" s="117">
        <f t="shared" si="1"/>
        <v>1.7249999999999999</v>
      </c>
      <c r="AB6" s="98">
        <f t="shared" ca="1" si="0"/>
        <v>26.944435120377854</v>
      </c>
      <c r="AD6" s="115"/>
    </row>
    <row r="7" spans="1:30">
      <c r="A7" s="189"/>
      <c r="B7" s="189"/>
      <c r="C7" s="189"/>
      <c r="D7" s="189"/>
      <c r="E7" s="115"/>
      <c r="F7" s="115"/>
      <c r="G7" s="122"/>
      <c r="H7" s="122"/>
      <c r="W7" s="98"/>
      <c r="Z7" s="117">
        <v>2</v>
      </c>
      <c r="AA7" s="117">
        <f t="shared" si="1"/>
        <v>2.2999999999999998</v>
      </c>
      <c r="AB7" s="98">
        <f t="shared" ca="1" si="0"/>
        <v>26.942615253752209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 s="122"/>
      <c r="H8" s="122"/>
      <c r="W8" s="98"/>
      <c r="Z8" s="117">
        <v>2.5</v>
      </c>
      <c r="AA8" s="117">
        <f t="shared" si="1"/>
        <v>2.875</v>
      </c>
      <c r="AB8" s="98">
        <f t="shared" ca="1" si="0"/>
        <v>26.940795387126563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 s="122"/>
      <c r="H9" s="122"/>
      <c r="W9" s="98"/>
      <c r="Z9" s="117">
        <v>3</v>
      </c>
      <c r="AA9" s="117">
        <f t="shared" si="1"/>
        <v>3.4499999999999997</v>
      </c>
      <c r="AB9" s="98">
        <f t="shared" ca="1" si="0"/>
        <v>26.938975520500918</v>
      </c>
      <c r="AD9" s="115"/>
    </row>
    <row r="10" spans="1:30" ht="15.6">
      <c r="A10" s="117">
        <f ca="1">D13</f>
        <v>4.0284271247461909</v>
      </c>
      <c r="B10" s="98">
        <f ca="1">E13</f>
        <v>26.937720000000002</v>
      </c>
      <c r="C10" s="115"/>
      <c r="D10" s="120" t="s">
        <v>80</v>
      </c>
      <c r="E10" s="120" t="s">
        <v>79</v>
      </c>
      <c r="F10" s="117"/>
      <c r="G10" s="122"/>
      <c r="H10" s="122"/>
      <c r="W10" s="98"/>
      <c r="Z10" s="117">
        <v>3.5</v>
      </c>
      <c r="AA10" s="117">
        <f t="shared" si="1"/>
        <v>4.0249999999999995</v>
      </c>
      <c r="AB10" s="98">
        <f t="shared" ca="1" si="0"/>
        <v>26.937155653875273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2.8284271247461903</v>
      </c>
      <c r="E11" s="5">
        <f ca="1">INDIRECT("data!"&amp;$B$62&amp;A4+2)</f>
        <v>26.936820000000001</v>
      </c>
      <c r="F11" s="116" t="s">
        <v>94</v>
      </c>
      <c r="G11" s="122"/>
      <c r="H11" s="122"/>
      <c r="W11" s="98"/>
      <c r="Z11" s="117">
        <v>4</v>
      </c>
      <c r="AA11" s="117">
        <f t="shared" si="1"/>
        <v>4.5999999999999996</v>
      </c>
      <c r="AB11" s="98">
        <f t="shared" ca="1" si="0"/>
        <v>26.935335787249628</v>
      </c>
      <c r="AD11" s="115"/>
    </row>
    <row r="12" spans="1:30" ht="13.2" customHeight="1">
      <c r="A12" s="117"/>
      <c r="B12" s="117"/>
      <c r="C12" s="117"/>
      <c r="D12" s="5">
        <v>12</v>
      </c>
      <c r="E12" s="5">
        <v>9</v>
      </c>
      <c r="F12" s="117"/>
      <c r="G12" s="122"/>
      <c r="H12" s="122"/>
      <c r="W12" s="98"/>
      <c r="Z12" s="117">
        <v>4.5</v>
      </c>
      <c r="AA12" s="117">
        <f t="shared" si="1"/>
        <v>5.1749999999999998</v>
      </c>
      <c r="AB12" s="98">
        <f t="shared" ca="1" si="0"/>
        <v>26.933515920623986</v>
      </c>
      <c r="AD12" s="115"/>
    </row>
    <row r="13" spans="1:30">
      <c r="A13" s="117"/>
      <c r="B13" s="117"/>
      <c r="C13" s="117"/>
      <c r="D13" s="5">
        <f ca="1">D12*D9+D11</f>
        <v>4.0284271247461909</v>
      </c>
      <c r="E13" s="5">
        <f ca="1">E12*E9+E11</f>
        <v>26.937720000000002</v>
      </c>
      <c r="F13" s="117"/>
      <c r="G13" s="122"/>
      <c r="H13" s="122"/>
      <c r="W13" s="98"/>
      <c r="Z13" s="117">
        <v>5</v>
      </c>
      <c r="AA13" s="117">
        <f t="shared" si="1"/>
        <v>5.75</v>
      </c>
      <c r="AB13" s="98">
        <f t="shared" ca="1" si="0"/>
        <v>26.931696053998341</v>
      </c>
      <c r="AD13" s="115"/>
    </row>
    <row r="14" spans="1:30">
      <c r="A14" s="122"/>
      <c r="B14" s="122"/>
      <c r="C14" s="122"/>
      <c r="D14" s="122"/>
      <c r="E14" s="122"/>
      <c r="F14" s="122"/>
      <c r="G14" s="122"/>
      <c r="H14" s="122"/>
      <c r="W14" s="98"/>
      <c r="Z14" s="117">
        <v>5.5</v>
      </c>
      <c r="AA14" s="117">
        <f t="shared" si="1"/>
        <v>6.3249999999999993</v>
      </c>
      <c r="AB14" s="98">
        <f t="shared" ca="1" si="0"/>
        <v>26.929876187372695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 s="122"/>
      <c r="H15" s="122"/>
      <c r="W15" s="98"/>
      <c r="Z15" s="117">
        <v>6</v>
      </c>
      <c r="AA15" s="117">
        <f t="shared" si="1"/>
        <v>6.8999999999999995</v>
      </c>
      <c r="AB15" s="98">
        <f t="shared" ca="1" si="0"/>
        <v>26.92805632074705</v>
      </c>
      <c r="AD15" s="115"/>
    </row>
    <row r="16" spans="1:30" ht="15.6">
      <c r="A16" s="29" t="s">
        <v>81</v>
      </c>
      <c r="B16" s="24">
        <f ca="1">B17-1</f>
        <v>19</v>
      </c>
      <c r="C16" s="125">
        <f ca="1">INDIRECT("data!"&amp;$A$62&amp;B16)</f>
        <v>5.4772255750516612</v>
      </c>
      <c r="D16" s="125">
        <f ca="1">INDIRECT("data!"&amp;$B$62&amp;B16)</f>
        <v>26.936820000000001</v>
      </c>
      <c r="E16" s="187">
        <f ca="1">FORECAST(A17,C16:C17,D16:D17)</f>
        <v>6.7298658709623851</v>
      </c>
      <c r="F16" s="195" t="s">
        <v>93</v>
      </c>
      <c r="G16" s="122"/>
      <c r="H16" s="122"/>
      <c r="W16" s="98"/>
      <c r="Z16" s="117">
        <v>6.5</v>
      </c>
      <c r="AA16" s="117">
        <f t="shared" si="1"/>
        <v>7.4749999999999996</v>
      </c>
      <c r="AB16" s="98">
        <f t="shared" ca="1" si="0"/>
        <v>26.926236454121405</v>
      </c>
      <c r="AD16" s="115"/>
    </row>
    <row r="17" spans="1:31">
      <c r="A17" s="126">
        <f ca="1">B10+(1/9)*(B10-C4)</f>
        <v>26.936367253305026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20</v>
      </c>
      <c r="C17" s="125">
        <f ca="1">INDIRECT("data!"&amp;$A$62&amp;B17)</f>
        <v>7.745966692414834</v>
      </c>
      <c r="D17" s="125">
        <f ca="1">INDIRECT("data!"&amp;$B$62&amp;B17)</f>
        <v>26.936</v>
      </c>
      <c r="E17" s="187"/>
      <c r="F17" s="187"/>
      <c r="G17" s="122"/>
      <c r="H17" s="122"/>
      <c r="W17" s="98"/>
      <c r="Z17" s="117">
        <v>7</v>
      </c>
      <c r="AA17" s="117">
        <f t="shared" si="1"/>
        <v>8.0499999999999989</v>
      </c>
      <c r="AB17" s="98">
        <f t="shared" ca="1" si="0"/>
        <v>26.92441658749576</v>
      </c>
      <c r="AD17" s="115"/>
    </row>
    <row r="18" spans="1:31">
      <c r="A18" s="5"/>
      <c r="B18" s="24"/>
      <c r="C18" s="5"/>
      <c r="D18" s="5"/>
      <c r="E18" s="5"/>
      <c r="F18" s="5"/>
      <c r="G18" s="122"/>
      <c r="H18" s="122"/>
      <c r="W18" s="98"/>
      <c r="Z18" s="117">
        <v>7.5</v>
      </c>
      <c r="AA18" s="117">
        <f t="shared" si="1"/>
        <v>8.625</v>
      </c>
      <c r="AB18" s="98">
        <f t="shared" ca="1" si="0"/>
        <v>26.922596720870118</v>
      </c>
      <c r="AD18" s="115"/>
    </row>
    <row r="19" spans="1:31">
      <c r="A19" s="5"/>
      <c r="B19" s="24"/>
      <c r="C19" s="5"/>
      <c r="D19" s="5"/>
      <c r="E19" s="5"/>
      <c r="F19" s="5"/>
      <c r="G19" s="122"/>
      <c r="H19" s="122"/>
      <c r="Z19" s="117">
        <v>8</v>
      </c>
      <c r="AA19" s="117">
        <f t="shared" si="1"/>
        <v>9.1999999999999993</v>
      </c>
      <c r="AB19" s="98">
        <f t="shared" ca="1" si="0"/>
        <v>26.920776854244473</v>
      </c>
    </row>
    <row r="20" spans="1:31" ht="15.6">
      <c r="A20" s="29" t="s">
        <v>82</v>
      </c>
      <c r="B20" s="24">
        <f ca="1">B21-1</f>
        <v>15</v>
      </c>
      <c r="C20" s="125">
        <f ca="1">INDIRECT("data!"&amp;$A$62&amp;B20)</f>
        <v>1.4142135623730951</v>
      </c>
      <c r="D20" s="125">
        <f ca="1">INDIRECT("data!"&amp;$B$62&amp;B20)</f>
        <v>26.943850000000001</v>
      </c>
      <c r="E20" s="187">
        <f ca="1">FORECAST(A21,C20:C21,D20:D21)</f>
        <v>1.6418828557816596</v>
      </c>
      <c r="F20" s="195" t="s">
        <v>92</v>
      </c>
      <c r="G20" s="122"/>
      <c r="H20" s="122"/>
      <c r="Z20" s="117">
        <v>8.5</v>
      </c>
      <c r="AA20" s="117">
        <f t="shared" si="1"/>
        <v>9.7749999999999986</v>
      </c>
      <c r="AB20" s="98">
        <f t="shared" ca="1" si="0"/>
        <v>26.918956987618827</v>
      </c>
      <c r="AD20" s="121" t="s">
        <v>83</v>
      </c>
      <c r="AE20" s="121" t="s">
        <v>84</v>
      </c>
    </row>
    <row r="21" spans="1:31">
      <c r="A21" s="126">
        <f ca="1">A17-(5/9)*(B10-C4)</f>
        <v>26.943130986779906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16</v>
      </c>
      <c r="C21" s="125">
        <f ca="1">INDIRECT("data!"&amp;$A$62&amp;B21)</f>
        <v>2</v>
      </c>
      <c r="D21" s="125">
        <f ca="1">INDIRECT("data!"&amp;$B$62&amp;B21)</f>
        <v>26.942</v>
      </c>
      <c r="E21" s="187"/>
      <c r="F21" s="195"/>
      <c r="G21" s="122"/>
      <c r="H21" s="122"/>
      <c r="Z21" s="117">
        <v>9</v>
      </c>
      <c r="AA21" s="117">
        <f t="shared" si="1"/>
        <v>10.35</v>
      </c>
      <c r="AB21" s="98">
        <f t="shared" ca="1" si="0"/>
        <v>26.917137120993182</v>
      </c>
      <c r="AC21" s="116">
        <v>0</v>
      </c>
      <c r="AD21" s="116">
        <f t="shared" ref="AD21:AD41" ca="1" si="2">A$17</f>
        <v>26.936367253305026</v>
      </c>
      <c r="AE21" s="116">
        <f t="shared" ref="AE21:AE41" ca="1" si="3">A$21</f>
        <v>26.943130986779906</v>
      </c>
    </row>
    <row r="22" spans="1:31">
      <c r="G22"/>
      <c r="H22"/>
      <c r="Z22" s="117">
        <v>9.5</v>
      </c>
      <c r="AA22" s="117">
        <f t="shared" si="1"/>
        <v>10.924999999999999</v>
      </c>
      <c r="AB22" s="98">
        <f t="shared" ca="1" si="0"/>
        <v>26.915317254367537</v>
      </c>
      <c r="AC22" s="116">
        <v>1</v>
      </c>
      <c r="AD22" s="116">
        <f t="shared" ca="1" si="2"/>
        <v>26.936367253305026</v>
      </c>
      <c r="AE22" s="116">
        <f t="shared" ca="1" si="3"/>
        <v>26.943130986779906</v>
      </c>
    </row>
    <row r="23" spans="1:31" ht="13.2" customHeight="1">
      <c r="G23"/>
      <c r="H23"/>
      <c r="Z23" s="117">
        <v>10</v>
      </c>
      <c r="AA23" s="117">
        <f t="shared" si="1"/>
        <v>11.5</v>
      </c>
      <c r="AB23" s="98">
        <f t="shared" ca="1" si="0"/>
        <v>26.913497387741891</v>
      </c>
      <c r="AC23" s="116">
        <v>2</v>
      </c>
      <c r="AD23" s="116">
        <f t="shared" ca="1" si="2"/>
        <v>26.936367253305026</v>
      </c>
      <c r="AE23" s="116">
        <f t="shared" ca="1" si="3"/>
        <v>26.943130986779906</v>
      </c>
    </row>
    <row r="24" spans="1:31" ht="13.2" customHeight="1">
      <c r="G24"/>
      <c r="H24"/>
      <c r="Z24" s="117">
        <v>10.5</v>
      </c>
      <c r="AA24" s="117">
        <f t="shared" si="1"/>
        <v>12.074999999999999</v>
      </c>
      <c r="AB24" s="98">
        <f t="shared" ca="1" si="0"/>
        <v>26.91167752111625</v>
      </c>
      <c r="AC24" s="116">
        <v>3</v>
      </c>
      <c r="AD24" s="116">
        <f t="shared" ca="1" si="2"/>
        <v>26.936367253305026</v>
      </c>
      <c r="AE24" s="116">
        <f t="shared" ca="1" si="3"/>
        <v>26.943130986779906</v>
      </c>
    </row>
    <row r="25" spans="1:31">
      <c r="G25"/>
      <c r="H25"/>
      <c r="Z25" s="117">
        <v>11</v>
      </c>
      <c r="AA25" s="117">
        <f t="shared" si="1"/>
        <v>12.649999999999999</v>
      </c>
      <c r="AB25" s="98">
        <f t="shared" ca="1" si="0"/>
        <v>26.909857654490605</v>
      </c>
      <c r="AC25" s="116">
        <v>4</v>
      </c>
      <c r="AD25" s="116">
        <f t="shared" ca="1" si="2"/>
        <v>26.936367253305026</v>
      </c>
      <c r="AE25" s="116">
        <f t="shared" ca="1" si="3"/>
        <v>26.943130986779906</v>
      </c>
    </row>
    <row r="26" spans="1:31">
      <c r="G26"/>
      <c r="H26"/>
      <c r="Z26" s="117">
        <v>11.5</v>
      </c>
      <c r="AA26" s="117">
        <f t="shared" si="1"/>
        <v>13.225</v>
      </c>
      <c r="AB26" s="98">
        <f t="shared" ca="1" si="0"/>
        <v>26.908037787864959</v>
      </c>
      <c r="AC26" s="116">
        <v>5</v>
      </c>
      <c r="AD26" s="116">
        <f t="shared" ca="1" si="2"/>
        <v>26.936367253305026</v>
      </c>
      <c r="AE26" s="116">
        <f t="shared" ca="1" si="3"/>
        <v>26.943130986779906</v>
      </c>
    </row>
    <row r="27" spans="1:31">
      <c r="G27"/>
      <c r="H27"/>
      <c r="Z27" s="117">
        <v>12</v>
      </c>
      <c r="AA27" s="117">
        <f t="shared" si="1"/>
        <v>13.799999999999999</v>
      </c>
      <c r="AB27" s="98">
        <f t="shared" ca="1" si="0"/>
        <v>26.906217921239314</v>
      </c>
      <c r="AC27" s="116">
        <v>6</v>
      </c>
      <c r="AD27" s="116">
        <f t="shared" ca="1" si="2"/>
        <v>26.936367253305026</v>
      </c>
      <c r="AE27" s="116">
        <f t="shared" ca="1" si="3"/>
        <v>26.943130986779906</v>
      </c>
    </row>
    <row r="28" spans="1:31">
      <c r="G28"/>
      <c r="H28"/>
      <c r="J28" s="194" t="s">
        <v>88</v>
      </c>
      <c r="K28" s="194"/>
      <c r="L28" s="194"/>
      <c r="M28" s="194"/>
      <c r="N28" s="194"/>
      <c r="O28" s="194"/>
      <c r="P28" s="194"/>
      <c r="Z28" s="117">
        <v>12.5</v>
      </c>
      <c r="AA28" s="117">
        <f t="shared" si="1"/>
        <v>14.374999999999998</v>
      </c>
      <c r="AB28" s="98">
        <f t="shared" ca="1" si="0"/>
        <v>26.904398054613669</v>
      </c>
      <c r="AC28" s="116">
        <v>7</v>
      </c>
      <c r="AD28" s="116">
        <f t="shared" ca="1" si="2"/>
        <v>26.936367253305026</v>
      </c>
      <c r="AE28" s="116">
        <f t="shared" ca="1" si="3"/>
        <v>26.943130986779906</v>
      </c>
    </row>
    <row r="29" spans="1:31">
      <c r="A29"/>
      <c r="B29"/>
      <c r="C29"/>
      <c r="D29"/>
      <c r="E29"/>
      <c r="F29"/>
      <c r="G29"/>
      <c r="H29"/>
      <c r="J29" s="194"/>
      <c r="K29" s="194"/>
      <c r="L29" s="194"/>
      <c r="M29" s="194"/>
      <c r="N29" s="194"/>
      <c r="O29" s="194"/>
      <c r="P29" s="194"/>
      <c r="Z29" s="117">
        <v>13</v>
      </c>
      <c r="AA29" s="117">
        <f t="shared" si="1"/>
        <v>14.95</v>
      </c>
      <c r="AB29" s="98">
        <f t="shared" ca="1" si="0"/>
        <v>26.902578187988023</v>
      </c>
      <c r="AC29" s="116">
        <v>8</v>
      </c>
      <c r="AD29" s="116">
        <f t="shared" ca="1" si="2"/>
        <v>26.936367253305026</v>
      </c>
      <c r="AE29" s="116">
        <f t="shared" ca="1" si="3"/>
        <v>26.943130986779906</v>
      </c>
    </row>
    <row r="30" spans="1:31">
      <c r="A30"/>
      <c r="B30"/>
      <c r="C30"/>
      <c r="D30"/>
      <c r="E30"/>
      <c r="F30"/>
      <c r="G30"/>
      <c r="H30"/>
      <c r="J30" s="194"/>
      <c r="K30" s="194"/>
      <c r="L30" s="194"/>
      <c r="M30" s="194"/>
      <c r="N30" s="194"/>
      <c r="O30" s="194"/>
      <c r="P30" s="194"/>
      <c r="Z30" s="117">
        <v>13.5</v>
      </c>
      <c r="AA30" s="117">
        <f t="shared" si="1"/>
        <v>15.524999999999999</v>
      </c>
      <c r="AB30" s="98">
        <f t="shared" ca="1" si="0"/>
        <v>26.900758321362382</v>
      </c>
      <c r="AC30" s="116">
        <v>9</v>
      </c>
      <c r="AD30" s="116">
        <f t="shared" ca="1" si="2"/>
        <v>26.936367253305026</v>
      </c>
      <c r="AE30" s="116">
        <f t="shared" ca="1" si="3"/>
        <v>26.943130986779906</v>
      </c>
    </row>
    <row r="31" spans="1:31">
      <c r="J31" s="194"/>
      <c r="K31" s="194"/>
      <c r="L31" s="194"/>
      <c r="M31" s="194"/>
      <c r="N31" s="194"/>
      <c r="O31" s="194"/>
      <c r="P31" s="194"/>
      <c r="Z31" s="117">
        <v>14</v>
      </c>
      <c r="AA31" s="117">
        <f t="shared" si="1"/>
        <v>16.099999999999998</v>
      </c>
      <c r="AB31" s="98">
        <f t="shared" ca="1" si="0"/>
        <v>26.898938454736737</v>
      </c>
      <c r="AC31" s="116">
        <v>10</v>
      </c>
      <c r="AD31" s="116">
        <f t="shared" ca="1" si="2"/>
        <v>26.936367253305026</v>
      </c>
      <c r="AE31" s="116">
        <f t="shared" ca="1" si="3"/>
        <v>26.943130986779906</v>
      </c>
    </row>
    <row r="32" spans="1:31">
      <c r="J32" s="194"/>
      <c r="K32" s="194"/>
      <c r="L32" s="194"/>
      <c r="M32" s="194"/>
      <c r="N32" s="194"/>
      <c r="O32" s="194"/>
      <c r="P32" s="194"/>
      <c r="Z32" s="117">
        <v>14.5</v>
      </c>
      <c r="AA32" s="117">
        <f t="shared" si="1"/>
        <v>16.674999999999997</v>
      </c>
      <c r="AB32" s="98">
        <f t="shared" ca="1" si="0"/>
        <v>26.897118588111091</v>
      </c>
      <c r="AC32" s="116">
        <v>11</v>
      </c>
      <c r="AD32" s="116">
        <f t="shared" ca="1" si="2"/>
        <v>26.936367253305026</v>
      </c>
      <c r="AE32" s="116">
        <f t="shared" ca="1" si="3"/>
        <v>26.943130986779906</v>
      </c>
    </row>
    <row r="33" spans="26:31">
      <c r="Z33" s="117">
        <v>15</v>
      </c>
      <c r="AA33" s="117">
        <f t="shared" si="1"/>
        <v>17.25</v>
      </c>
      <c r="AB33" s="98">
        <f t="shared" ca="1" si="0"/>
        <v>26.895298721485446</v>
      </c>
      <c r="AC33" s="116">
        <v>12</v>
      </c>
      <c r="AD33" s="116">
        <f t="shared" ca="1" si="2"/>
        <v>26.936367253305026</v>
      </c>
      <c r="AE33" s="116">
        <f t="shared" ca="1" si="3"/>
        <v>26.943130986779906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26.893478854859801</v>
      </c>
      <c r="AC34" s="116">
        <v>13</v>
      </c>
      <c r="AD34" s="116">
        <f t="shared" ca="1" si="2"/>
        <v>26.936367253305026</v>
      </c>
      <c r="AE34" s="116">
        <f t="shared" ca="1" si="3"/>
        <v>26.943130986779906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26.891658988234155</v>
      </c>
      <c r="AC35" s="116">
        <v>14</v>
      </c>
      <c r="AD35" s="116">
        <f t="shared" ca="1" si="2"/>
        <v>26.936367253305026</v>
      </c>
      <c r="AE35" s="116">
        <f t="shared" ca="1" si="3"/>
        <v>26.943130986779906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26.889839121608514</v>
      </c>
      <c r="AC36" s="116">
        <v>15</v>
      </c>
      <c r="AD36" s="116">
        <f t="shared" ca="1" si="2"/>
        <v>26.936367253305026</v>
      </c>
      <c r="AE36" s="116">
        <f t="shared" ca="1" si="3"/>
        <v>26.943130986779906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26.888019254982868</v>
      </c>
      <c r="AC37" s="116">
        <v>16</v>
      </c>
      <c r="AD37" s="116">
        <f t="shared" ca="1" si="2"/>
        <v>26.936367253305026</v>
      </c>
      <c r="AE37" s="116">
        <f t="shared" ca="1" si="3"/>
        <v>26.943130986779906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26.886199388357223</v>
      </c>
      <c r="AC38" s="116">
        <v>17</v>
      </c>
      <c r="AD38" s="116">
        <f t="shared" ca="1" si="2"/>
        <v>26.936367253305026</v>
      </c>
      <c r="AE38" s="116">
        <f t="shared" ca="1" si="3"/>
        <v>26.943130986779906</v>
      </c>
    </row>
    <row r="39" spans="26:31">
      <c r="Z39" s="117">
        <v>18</v>
      </c>
      <c r="AA39" s="117">
        <f t="shared" si="1"/>
        <v>20.7</v>
      </c>
      <c r="AB39" s="98">
        <f t="shared" ca="1" si="0"/>
        <v>26.884379521731578</v>
      </c>
      <c r="AC39" s="116">
        <v>18</v>
      </c>
      <c r="AD39" s="116">
        <f t="shared" ca="1" si="2"/>
        <v>26.936367253305026</v>
      </c>
      <c r="AE39" s="116">
        <f t="shared" ca="1" si="3"/>
        <v>26.943130986779906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26.882559655105933</v>
      </c>
      <c r="AC40" s="116">
        <v>19</v>
      </c>
      <c r="AD40" s="116">
        <f t="shared" ca="1" si="2"/>
        <v>26.936367253305026</v>
      </c>
      <c r="AE40" s="116">
        <f t="shared" ca="1" si="3"/>
        <v>26.943130986779906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26.880739788480287</v>
      </c>
      <c r="AC41" s="116">
        <v>20</v>
      </c>
      <c r="AD41" s="116">
        <f t="shared" ca="1" si="2"/>
        <v>26.936367253305026</v>
      </c>
      <c r="AE41" s="116">
        <f t="shared" ca="1" si="3"/>
        <v>26.943130986779906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26.878919921854646</v>
      </c>
    </row>
    <row r="43" spans="26:31">
      <c r="Z43" s="117">
        <v>20</v>
      </c>
      <c r="AA43" s="117">
        <f t="shared" si="1"/>
        <v>23</v>
      </c>
      <c r="AB43" s="98">
        <f t="shared" ca="1" si="0"/>
        <v>26.877100055229</v>
      </c>
    </row>
    <row r="61" spans="1:2">
      <c r="A61" s="188" t="s">
        <v>127</v>
      </c>
      <c r="B61" s="188"/>
    </row>
    <row r="62" spans="1:2">
      <c r="A62" s="91" t="s">
        <v>118</v>
      </c>
      <c r="B62" s="91" t="s">
        <v>119</v>
      </c>
    </row>
  </sheetData>
  <mergeCells count="12">
    <mergeCell ref="Z1:AB1"/>
    <mergeCell ref="Y2:Y3"/>
    <mergeCell ref="A1:D2"/>
    <mergeCell ref="A6:D7"/>
    <mergeCell ref="A8:B8"/>
    <mergeCell ref="D8:E8"/>
    <mergeCell ref="A61:B61"/>
    <mergeCell ref="E20:E21"/>
    <mergeCell ref="F20:F21"/>
    <mergeCell ref="J28:P32"/>
    <mergeCell ref="E16:E17"/>
    <mergeCell ref="F16:F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4105" r:id="rId3" name="Scroll Bar 9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106" r:id="rId4" name="Scroll Bar 10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E62"/>
  <sheetViews>
    <sheetView workbookViewId="0">
      <selection activeCell="A5" sqref="A5"/>
    </sheetView>
  </sheetViews>
  <sheetFormatPr defaultRowHeight="13.2"/>
  <cols>
    <col min="1" max="4" width="8.88671875" style="40"/>
    <col min="5" max="5" width="11.109375" style="40" bestFit="1" customWidth="1"/>
    <col min="6" max="22" width="8.88671875" style="40"/>
    <col min="23" max="28" width="8.88671875" style="117"/>
    <col min="29" max="29" width="19.88671875" style="117" customWidth="1"/>
    <col min="30" max="31" width="8.88671875" style="117" customWidth="1"/>
    <col min="32" max="16384" width="8.88671875" style="40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 s="106"/>
      <c r="H1" s="122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 s="106"/>
      <c r="H2" s="122"/>
      <c r="W2" s="117">
        <v>0</v>
      </c>
      <c r="X2" s="117">
        <f>D$4*W2+C$4</f>
        <v>26.934988958659872</v>
      </c>
      <c r="Y2" s="193">
        <f ca="1">SLOPE(X2:X3,W2:W3)</f>
        <v>-7.5194793299360185E-3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 s="122"/>
      <c r="H3" s="122"/>
      <c r="W3" s="117">
        <f ca="1">INDIRECT("data!"&amp;A62&amp;A4)</f>
        <v>2</v>
      </c>
      <c r="X3" s="98">
        <f ca="1">INDIRECT("data!"&amp;$B$62&amp;A4)</f>
        <v>26.91995</v>
      </c>
      <c r="Y3" s="193"/>
      <c r="Z3" s="117">
        <v>0</v>
      </c>
      <c r="AA3" s="117">
        <v>0</v>
      </c>
      <c r="AB3" s="98">
        <f t="shared" ref="AB3:AB43" ca="1" si="0">Y$2*Z3+C$4</f>
        <v>26.934988958659872</v>
      </c>
    </row>
    <row r="4" spans="1:30">
      <c r="A4" s="118">
        <v>16</v>
      </c>
      <c r="B4" s="119">
        <v>0.99895189314516541</v>
      </c>
      <c r="C4" s="98">
        <v>26.934988958659872</v>
      </c>
      <c r="D4" s="115">
        <v>-7.4732380774366006E-3</v>
      </c>
      <c r="E4" s="117"/>
      <c r="F4" s="117"/>
      <c r="G4" s="122"/>
      <c r="H4" s="122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26.931229218994904</v>
      </c>
    </row>
    <row r="5" spans="1:30">
      <c r="A5" s="117"/>
      <c r="B5" s="117"/>
      <c r="C5" s="117"/>
      <c r="D5" s="117"/>
      <c r="E5" s="117"/>
      <c r="F5" s="117"/>
      <c r="G5" s="122"/>
      <c r="H5" s="122"/>
      <c r="W5" s="98"/>
      <c r="Z5" s="117">
        <v>1</v>
      </c>
      <c r="AA5" s="117">
        <f t="shared" si="1"/>
        <v>1.1499999999999999</v>
      </c>
      <c r="AB5" s="98">
        <f t="shared" ca="1" si="0"/>
        <v>26.927469479329936</v>
      </c>
    </row>
    <row r="6" spans="1:30">
      <c r="A6" s="189" t="s">
        <v>86</v>
      </c>
      <c r="B6" s="189"/>
      <c r="C6" s="189"/>
      <c r="D6" s="189"/>
      <c r="E6" s="117"/>
      <c r="F6" s="115"/>
      <c r="G6" s="122"/>
      <c r="H6" s="122"/>
      <c r="W6" s="98"/>
      <c r="Z6" s="117">
        <v>1.5</v>
      </c>
      <c r="AA6" s="117">
        <f t="shared" si="1"/>
        <v>1.7249999999999999</v>
      </c>
      <c r="AB6" s="98">
        <f t="shared" ca="1" si="0"/>
        <v>26.923709739664968</v>
      </c>
      <c r="AD6" s="115"/>
    </row>
    <row r="7" spans="1:30">
      <c r="A7" s="189"/>
      <c r="B7" s="189"/>
      <c r="C7" s="189"/>
      <c r="D7" s="189"/>
      <c r="E7" s="115"/>
      <c r="F7" s="115"/>
      <c r="G7" s="106"/>
      <c r="H7" s="122"/>
      <c r="W7" s="98"/>
      <c r="Z7" s="117">
        <v>2</v>
      </c>
      <c r="AA7" s="117">
        <f t="shared" si="1"/>
        <v>2.2999999999999998</v>
      </c>
      <c r="AB7" s="98">
        <f t="shared" ca="1" si="0"/>
        <v>26.91995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 s="106"/>
      <c r="H8" s="122"/>
      <c r="W8" s="98"/>
      <c r="Z8" s="117">
        <v>2.5</v>
      </c>
      <c r="AA8" s="117">
        <f t="shared" si="1"/>
        <v>2.875</v>
      </c>
      <c r="AB8" s="98">
        <f t="shared" ca="1" si="0"/>
        <v>26.916190260335032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 s="122"/>
      <c r="H9" s="122"/>
      <c r="W9" s="98"/>
      <c r="Z9" s="117">
        <v>3</v>
      </c>
      <c r="AA9" s="117">
        <f t="shared" si="1"/>
        <v>3.4499999999999997</v>
      </c>
      <c r="AB9" s="98">
        <f t="shared" ca="1" si="0"/>
        <v>26.912430520670064</v>
      </c>
      <c r="AD9" s="115"/>
    </row>
    <row r="10" spans="1:30" ht="15.6">
      <c r="A10" s="117">
        <f ca="1">D13</f>
        <v>3.2</v>
      </c>
      <c r="B10" s="98">
        <f ca="1">E13</f>
        <v>26.917250000000003</v>
      </c>
      <c r="C10" s="115"/>
      <c r="D10" s="120" t="s">
        <v>80</v>
      </c>
      <c r="E10" s="120" t="s">
        <v>79</v>
      </c>
      <c r="F10" s="117"/>
      <c r="G10" s="122"/>
      <c r="H10" s="122"/>
      <c r="W10" s="98"/>
      <c r="Z10" s="117">
        <v>3.5</v>
      </c>
      <c r="AA10" s="117">
        <f t="shared" si="1"/>
        <v>4.0249999999999995</v>
      </c>
      <c r="AB10" s="98">
        <f t="shared" ca="1" si="0"/>
        <v>26.908670781005096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2</v>
      </c>
      <c r="E11" s="5">
        <f ca="1">INDIRECT("data!"&amp;$B$62&amp;A4+2)</f>
        <v>26.916350000000001</v>
      </c>
      <c r="F11" s="116" t="s">
        <v>94</v>
      </c>
      <c r="G11" s="122"/>
      <c r="H11" s="122"/>
      <c r="W11" s="98"/>
      <c r="Z11" s="117">
        <v>4</v>
      </c>
      <c r="AA11" s="117">
        <f t="shared" si="1"/>
        <v>4.5999999999999996</v>
      </c>
      <c r="AB11" s="98">
        <f t="shared" ca="1" si="0"/>
        <v>26.904911041340128</v>
      </c>
      <c r="AD11" s="115"/>
    </row>
    <row r="12" spans="1:30" ht="13.2" customHeight="1">
      <c r="A12" s="117"/>
      <c r="B12" s="117"/>
      <c r="C12" s="117"/>
      <c r="D12" s="5">
        <v>12</v>
      </c>
      <c r="E12" s="5">
        <v>9</v>
      </c>
      <c r="F12" s="117"/>
      <c r="G12" s="122"/>
      <c r="H12" s="122"/>
      <c r="W12" s="98"/>
      <c r="Z12" s="117">
        <v>4.5</v>
      </c>
      <c r="AA12" s="117">
        <f t="shared" si="1"/>
        <v>5.1749999999999998</v>
      </c>
      <c r="AB12" s="98">
        <f t="shared" ca="1" si="0"/>
        <v>26.90115130167516</v>
      </c>
      <c r="AD12" s="115"/>
    </row>
    <row r="13" spans="1:30">
      <c r="A13" s="117"/>
      <c r="B13" s="117"/>
      <c r="C13" s="117"/>
      <c r="D13" s="5">
        <f ca="1">D12*D9+D11</f>
        <v>3.2</v>
      </c>
      <c r="E13" s="5">
        <f ca="1">E12*E9+E11</f>
        <v>26.917250000000003</v>
      </c>
      <c r="F13" s="117"/>
      <c r="G13" s="122"/>
      <c r="H13" s="122"/>
      <c r="W13" s="98"/>
      <c r="Z13" s="117">
        <v>5</v>
      </c>
      <c r="AA13" s="117">
        <f t="shared" si="1"/>
        <v>5.75</v>
      </c>
      <c r="AB13" s="98">
        <f t="shared" ca="1" si="0"/>
        <v>26.897391562010192</v>
      </c>
      <c r="AD13" s="115"/>
    </row>
    <row r="14" spans="1:30">
      <c r="A14" s="106"/>
      <c r="B14" s="106"/>
      <c r="C14" s="106"/>
      <c r="D14" s="106"/>
      <c r="E14" s="122"/>
      <c r="F14" s="122"/>
      <c r="G14" s="122"/>
      <c r="H14" s="122"/>
      <c r="W14" s="98"/>
      <c r="Z14" s="117">
        <v>5.5</v>
      </c>
      <c r="AA14" s="117">
        <f t="shared" si="1"/>
        <v>6.3249999999999993</v>
      </c>
      <c r="AB14" s="98">
        <f t="shared" ca="1" si="0"/>
        <v>26.893631822345224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 s="106"/>
      <c r="H15" s="122"/>
      <c r="W15" s="98"/>
      <c r="Z15" s="117">
        <v>6</v>
      </c>
      <c r="AA15" s="117">
        <f t="shared" si="1"/>
        <v>6.8999999999999995</v>
      </c>
      <c r="AB15" s="98">
        <f t="shared" ca="1" si="0"/>
        <v>26.889872082680256</v>
      </c>
      <c r="AD15" s="115"/>
    </row>
    <row r="16" spans="1:30" ht="15.6">
      <c r="A16" s="29" t="s">
        <v>81</v>
      </c>
      <c r="B16" s="24">
        <f ca="1">B17-1</f>
        <v>18</v>
      </c>
      <c r="C16" s="125">
        <f ca="1">INDIRECT("data!"&amp;$A$62&amp;B16)</f>
        <v>3.872983346207417</v>
      </c>
      <c r="D16" s="125">
        <f ca="1">INDIRECT("data!"&amp;$B$62&amp;B16)</f>
        <v>26.916350000000001</v>
      </c>
      <c r="E16" s="187">
        <f ca="1">FORECAST(A17,C16:C17,D16:D17)</f>
        <v>5.1456767226809461</v>
      </c>
      <c r="F16" s="195" t="s">
        <v>93</v>
      </c>
      <c r="G16" s="106"/>
      <c r="H16" s="122"/>
      <c r="W16" s="98"/>
      <c r="Z16" s="117">
        <v>6.5</v>
      </c>
      <c r="AA16" s="117">
        <f t="shared" si="1"/>
        <v>7.4749999999999996</v>
      </c>
      <c r="AB16" s="98">
        <f t="shared" ca="1" si="0"/>
        <v>26.886112343015288</v>
      </c>
      <c r="AD16" s="115"/>
    </row>
    <row r="17" spans="1:31">
      <c r="A17" s="126">
        <f ca="1">B10+(1/9)*(B10-C4)</f>
        <v>26.915279004593351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19</v>
      </c>
      <c r="C17" s="125">
        <f ca="1">INDIRECT("data!"&amp;$A$62&amp;B17)</f>
        <v>5.4772255750516612</v>
      </c>
      <c r="D17" s="125">
        <f ca="1">INDIRECT("data!"&amp;$B$62&amp;B17)</f>
        <v>26.914999999999999</v>
      </c>
      <c r="E17" s="187"/>
      <c r="F17" s="187"/>
      <c r="G17" s="122"/>
      <c r="H17" s="122"/>
      <c r="W17" s="98"/>
      <c r="Z17" s="117">
        <v>7</v>
      </c>
      <c r="AA17" s="117">
        <f t="shared" si="1"/>
        <v>8.0499999999999989</v>
      </c>
      <c r="AB17" s="98">
        <f t="shared" ca="1" si="0"/>
        <v>26.88235260335032</v>
      </c>
      <c r="AD17" s="115"/>
    </row>
    <row r="18" spans="1:31">
      <c r="A18" s="5"/>
      <c r="B18" s="24"/>
      <c r="C18" s="5"/>
      <c r="D18" s="5"/>
      <c r="E18" s="5"/>
      <c r="F18" s="5"/>
      <c r="G18" s="122"/>
      <c r="H18" s="122"/>
      <c r="W18" s="98"/>
      <c r="Z18" s="117">
        <v>7.5</v>
      </c>
      <c r="AA18" s="117">
        <f t="shared" si="1"/>
        <v>8.625</v>
      </c>
      <c r="AB18" s="98">
        <f t="shared" ca="1" si="0"/>
        <v>26.878592863685352</v>
      </c>
      <c r="AD18" s="115"/>
    </row>
    <row r="19" spans="1:31">
      <c r="A19" s="5"/>
      <c r="B19" s="24"/>
      <c r="C19" s="5"/>
      <c r="D19" s="5"/>
      <c r="E19" s="5"/>
      <c r="F19" s="5"/>
      <c r="G19" s="122"/>
      <c r="H19" s="122"/>
      <c r="Z19" s="117">
        <v>8</v>
      </c>
      <c r="AA19" s="117">
        <f t="shared" si="1"/>
        <v>9.1999999999999993</v>
      </c>
      <c r="AB19" s="98">
        <f t="shared" ca="1" si="0"/>
        <v>26.874833124020384</v>
      </c>
    </row>
    <row r="20" spans="1:31" ht="15.6">
      <c r="A20" s="29" t="s">
        <v>82</v>
      </c>
      <c r="B20" s="24">
        <f ca="1">B21-1</f>
        <v>14</v>
      </c>
      <c r="C20" s="125">
        <f ca="1">INDIRECT("data!"&amp;$A$62&amp;B20)</f>
        <v>1</v>
      </c>
      <c r="D20" s="125">
        <f ca="1">INDIRECT("data!"&amp;$B$62&amp;B20)</f>
        <v>26.927299999999999</v>
      </c>
      <c r="E20" s="187">
        <f ca="1">FORECAST(A21,C20:C21,D20:D21)</f>
        <v>1.3322941431888466</v>
      </c>
      <c r="F20" s="195" t="s">
        <v>92</v>
      </c>
      <c r="G20" s="131"/>
      <c r="H20" s="122"/>
      <c r="Z20" s="117">
        <v>8.5</v>
      </c>
      <c r="AA20" s="117">
        <f t="shared" si="1"/>
        <v>9.7749999999999986</v>
      </c>
      <c r="AB20" s="98">
        <f t="shared" ca="1" si="0"/>
        <v>26.871073384355416</v>
      </c>
      <c r="AD20" s="121" t="s">
        <v>83</v>
      </c>
      <c r="AE20" s="121" t="s">
        <v>84</v>
      </c>
    </row>
    <row r="21" spans="1:31">
      <c r="A21" s="126">
        <f ca="1">A17-(5/9)*(B10-C4)</f>
        <v>26.925133981626612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15</v>
      </c>
      <c r="C21" s="125">
        <f ca="1">INDIRECT("data!"&amp;$A$62&amp;B21)</f>
        <v>1.4142135623730951</v>
      </c>
      <c r="D21" s="125">
        <f ca="1">INDIRECT("data!"&amp;$B$62&amp;B21)</f>
        <v>26.924600000000002</v>
      </c>
      <c r="E21" s="187"/>
      <c r="F21" s="195"/>
      <c r="G21" s="50"/>
      <c r="Z21" s="117">
        <v>9</v>
      </c>
      <c r="AA21" s="117">
        <f t="shared" si="1"/>
        <v>10.35</v>
      </c>
      <c r="AB21" s="98">
        <f t="shared" ca="1" si="0"/>
        <v>26.867313644690448</v>
      </c>
      <c r="AC21" s="116">
        <v>0</v>
      </c>
      <c r="AD21" s="116">
        <f t="shared" ref="AD21:AD41" ca="1" si="2">A$17</f>
        <v>26.915279004593351</v>
      </c>
      <c r="AE21" s="116">
        <f t="shared" ref="AE21:AE41" ca="1" si="3">A$21</f>
        <v>26.925133981626612</v>
      </c>
    </row>
    <row r="22" spans="1:31">
      <c r="G22"/>
      <c r="H22"/>
      <c r="Z22" s="117">
        <v>9.5</v>
      </c>
      <c r="AA22" s="117">
        <f t="shared" si="1"/>
        <v>10.924999999999999</v>
      </c>
      <c r="AB22" s="98">
        <f t="shared" ca="1" si="0"/>
        <v>26.86355390502548</v>
      </c>
      <c r="AC22" s="116">
        <v>1</v>
      </c>
      <c r="AD22" s="116">
        <f t="shared" ca="1" si="2"/>
        <v>26.915279004593351</v>
      </c>
      <c r="AE22" s="116">
        <f t="shared" ca="1" si="3"/>
        <v>26.925133981626612</v>
      </c>
    </row>
    <row r="23" spans="1:31" ht="13.2" customHeight="1">
      <c r="G23"/>
      <c r="H23"/>
      <c r="Z23" s="117">
        <v>10</v>
      </c>
      <c r="AA23" s="117">
        <f t="shared" si="1"/>
        <v>11.5</v>
      </c>
      <c r="AB23" s="98">
        <f t="shared" ca="1" si="0"/>
        <v>26.859794165360512</v>
      </c>
      <c r="AC23" s="116">
        <v>2</v>
      </c>
      <c r="AD23" s="116">
        <f t="shared" ca="1" si="2"/>
        <v>26.915279004593351</v>
      </c>
      <c r="AE23" s="116">
        <f t="shared" ca="1" si="3"/>
        <v>26.925133981626612</v>
      </c>
    </row>
    <row r="24" spans="1:31" ht="13.2" customHeight="1">
      <c r="G24"/>
      <c r="H24"/>
      <c r="Z24" s="117">
        <v>10.5</v>
      </c>
      <c r="AA24" s="117">
        <f t="shared" si="1"/>
        <v>12.074999999999999</v>
      </c>
      <c r="AB24" s="98">
        <f t="shared" ca="1" si="0"/>
        <v>26.856034425695544</v>
      </c>
      <c r="AC24" s="116">
        <v>3</v>
      </c>
      <c r="AD24" s="116">
        <f t="shared" ca="1" si="2"/>
        <v>26.915279004593351</v>
      </c>
      <c r="AE24" s="116">
        <f t="shared" ca="1" si="3"/>
        <v>26.925133981626612</v>
      </c>
    </row>
    <row r="25" spans="1:31">
      <c r="G25"/>
      <c r="H25"/>
      <c r="Z25" s="117">
        <v>11</v>
      </c>
      <c r="AA25" s="117">
        <f t="shared" si="1"/>
        <v>12.649999999999999</v>
      </c>
      <c r="AB25" s="98">
        <f t="shared" ca="1" si="0"/>
        <v>26.852274686030576</v>
      </c>
      <c r="AC25" s="116">
        <v>4</v>
      </c>
      <c r="AD25" s="116">
        <f t="shared" ca="1" si="2"/>
        <v>26.915279004593351</v>
      </c>
      <c r="AE25" s="116">
        <f t="shared" ca="1" si="3"/>
        <v>26.925133981626612</v>
      </c>
    </row>
    <row r="26" spans="1:31">
      <c r="G26"/>
      <c r="H26"/>
      <c r="Z26" s="117">
        <v>11.5</v>
      </c>
      <c r="AA26" s="117">
        <f t="shared" si="1"/>
        <v>13.225</v>
      </c>
      <c r="AB26" s="98">
        <f t="shared" ca="1" si="0"/>
        <v>26.848514946365608</v>
      </c>
      <c r="AC26" s="116">
        <v>5</v>
      </c>
      <c r="AD26" s="116">
        <f t="shared" ca="1" si="2"/>
        <v>26.915279004593351</v>
      </c>
      <c r="AE26" s="116">
        <f t="shared" ca="1" si="3"/>
        <v>26.925133981626612</v>
      </c>
    </row>
    <row r="27" spans="1:31">
      <c r="G27"/>
      <c r="H27"/>
      <c r="Z27" s="117">
        <v>12</v>
      </c>
      <c r="AA27" s="117">
        <f t="shared" si="1"/>
        <v>13.799999999999999</v>
      </c>
      <c r="AB27" s="98">
        <f t="shared" ca="1" si="0"/>
        <v>26.84475520670064</v>
      </c>
      <c r="AC27" s="116">
        <v>6</v>
      </c>
      <c r="AD27" s="116">
        <f t="shared" ca="1" si="2"/>
        <v>26.915279004593351</v>
      </c>
      <c r="AE27" s="116">
        <f t="shared" ca="1" si="3"/>
        <v>26.925133981626612</v>
      </c>
    </row>
    <row r="28" spans="1:31">
      <c r="G28"/>
      <c r="H28"/>
      <c r="J28" s="194" t="s">
        <v>88</v>
      </c>
      <c r="K28" s="194"/>
      <c r="L28" s="194"/>
      <c r="M28" s="194"/>
      <c r="N28" s="194"/>
      <c r="O28" s="194"/>
      <c r="P28" s="194"/>
      <c r="Z28" s="117">
        <v>12.5</v>
      </c>
      <c r="AA28" s="117">
        <f t="shared" si="1"/>
        <v>14.374999999999998</v>
      </c>
      <c r="AB28" s="98">
        <f t="shared" ca="1" si="0"/>
        <v>26.840995467035672</v>
      </c>
      <c r="AC28" s="116">
        <v>7</v>
      </c>
      <c r="AD28" s="116">
        <f t="shared" ca="1" si="2"/>
        <v>26.915279004593351</v>
      </c>
      <c r="AE28" s="116">
        <f t="shared" ca="1" si="3"/>
        <v>26.925133981626612</v>
      </c>
    </row>
    <row r="29" spans="1:31">
      <c r="A29"/>
      <c r="B29"/>
      <c r="C29"/>
      <c r="D29"/>
      <c r="E29"/>
      <c r="F29"/>
      <c r="G29"/>
      <c r="H29"/>
      <c r="J29" s="194"/>
      <c r="K29" s="194"/>
      <c r="L29" s="194"/>
      <c r="M29" s="194"/>
      <c r="N29" s="194"/>
      <c r="O29" s="194"/>
      <c r="P29" s="194"/>
      <c r="Z29" s="117">
        <v>13</v>
      </c>
      <c r="AA29" s="117">
        <f t="shared" si="1"/>
        <v>14.95</v>
      </c>
      <c r="AB29" s="98">
        <f t="shared" ca="1" si="0"/>
        <v>26.837235727370704</v>
      </c>
      <c r="AC29" s="116">
        <v>8</v>
      </c>
      <c r="AD29" s="116">
        <f t="shared" ca="1" si="2"/>
        <v>26.915279004593351</v>
      </c>
      <c r="AE29" s="116">
        <f t="shared" ca="1" si="3"/>
        <v>26.925133981626612</v>
      </c>
    </row>
    <row r="30" spans="1:31">
      <c r="A30"/>
      <c r="B30"/>
      <c r="C30"/>
      <c r="D30"/>
      <c r="E30"/>
      <c r="F30"/>
      <c r="G30"/>
      <c r="H30"/>
      <c r="J30" s="194"/>
      <c r="K30" s="194"/>
      <c r="L30" s="194"/>
      <c r="M30" s="194"/>
      <c r="N30" s="194"/>
      <c r="O30" s="194"/>
      <c r="P30" s="194"/>
      <c r="Z30" s="117">
        <v>13.5</v>
      </c>
      <c r="AA30" s="117">
        <f t="shared" si="1"/>
        <v>15.524999999999999</v>
      </c>
      <c r="AB30" s="98">
        <f t="shared" ca="1" si="0"/>
        <v>26.833475987705736</v>
      </c>
      <c r="AC30" s="116">
        <v>9</v>
      </c>
      <c r="AD30" s="116">
        <f t="shared" ca="1" si="2"/>
        <v>26.915279004593351</v>
      </c>
      <c r="AE30" s="116">
        <f t="shared" ca="1" si="3"/>
        <v>26.925133981626612</v>
      </c>
    </row>
    <row r="31" spans="1:31">
      <c r="J31" s="194"/>
      <c r="K31" s="194"/>
      <c r="L31" s="194"/>
      <c r="M31" s="194"/>
      <c r="N31" s="194"/>
      <c r="O31" s="194"/>
      <c r="P31" s="194"/>
      <c r="Z31" s="117">
        <v>14</v>
      </c>
      <c r="AA31" s="117">
        <f t="shared" si="1"/>
        <v>16.099999999999998</v>
      </c>
      <c r="AB31" s="98">
        <f t="shared" ca="1" si="0"/>
        <v>26.829716248040768</v>
      </c>
      <c r="AC31" s="116">
        <v>10</v>
      </c>
      <c r="AD31" s="116">
        <f t="shared" ca="1" si="2"/>
        <v>26.915279004593351</v>
      </c>
      <c r="AE31" s="116">
        <f t="shared" ca="1" si="3"/>
        <v>26.925133981626612</v>
      </c>
    </row>
    <row r="32" spans="1:31">
      <c r="J32" s="194"/>
      <c r="K32" s="194"/>
      <c r="L32" s="194"/>
      <c r="M32" s="194"/>
      <c r="N32" s="194"/>
      <c r="O32" s="194"/>
      <c r="P32" s="194"/>
      <c r="Z32" s="117">
        <v>14.5</v>
      </c>
      <c r="AA32" s="117">
        <f t="shared" si="1"/>
        <v>16.674999999999997</v>
      </c>
      <c r="AB32" s="98">
        <f t="shared" ca="1" si="0"/>
        <v>26.8259565083758</v>
      </c>
      <c r="AC32" s="116">
        <v>11</v>
      </c>
      <c r="AD32" s="116">
        <f t="shared" ca="1" si="2"/>
        <v>26.915279004593351</v>
      </c>
      <c r="AE32" s="116">
        <f t="shared" ca="1" si="3"/>
        <v>26.925133981626612</v>
      </c>
    </row>
    <row r="33" spans="26:31">
      <c r="Z33" s="117">
        <v>15</v>
      </c>
      <c r="AA33" s="117">
        <f t="shared" si="1"/>
        <v>17.25</v>
      </c>
      <c r="AB33" s="98">
        <f t="shared" ca="1" si="0"/>
        <v>26.822196768710832</v>
      </c>
      <c r="AC33" s="116">
        <v>12</v>
      </c>
      <c r="AD33" s="116">
        <f t="shared" ca="1" si="2"/>
        <v>26.915279004593351</v>
      </c>
      <c r="AE33" s="116">
        <f t="shared" ca="1" si="3"/>
        <v>26.925133981626612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26.818437029045864</v>
      </c>
      <c r="AC34" s="116">
        <v>13</v>
      </c>
      <c r="AD34" s="116">
        <f t="shared" ca="1" si="2"/>
        <v>26.915279004593351</v>
      </c>
      <c r="AE34" s="116">
        <f t="shared" ca="1" si="3"/>
        <v>26.925133981626612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26.814677289380896</v>
      </c>
      <c r="AC35" s="116">
        <v>14</v>
      </c>
      <c r="AD35" s="116">
        <f t="shared" ca="1" si="2"/>
        <v>26.915279004593351</v>
      </c>
      <c r="AE35" s="116">
        <f t="shared" ca="1" si="3"/>
        <v>26.925133981626612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26.810917549715928</v>
      </c>
      <c r="AC36" s="116">
        <v>15</v>
      </c>
      <c r="AD36" s="116">
        <f t="shared" ca="1" si="2"/>
        <v>26.915279004593351</v>
      </c>
      <c r="AE36" s="116">
        <f t="shared" ca="1" si="3"/>
        <v>26.925133981626612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26.80715781005096</v>
      </c>
      <c r="AC37" s="116">
        <v>16</v>
      </c>
      <c r="AD37" s="116">
        <f t="shared" ca="1" si="2"/>
        <v>26.915279004593351</v>
      </c>
      <c r="AE37" s="116">
        <f t="shared" ca="1" si="3"/>
        <v>26.925133981626612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26.803398070385992</v>
      </c>
      <c r="AC38" s="116">
        <v>17</v>
      </c>
      <c r="AD38" s="116">
        <f t="shared" ca="1" si="2"/>
        <v>26.915279004593351</v>
      </c>
      <c r="AE38" s="116">
        <f t="shared" ca="1" si="3"/>
        <v>26.925133981626612</v>
      </c>
    </row>
    <row r="39" spans="26:31">
      <c r="Z39" s="117">
        <v>18</v>
      </c>
      <c r="AA39" s="117">
        <f t="shared" si="1"/>
        <v>20.7</v>
      </c>
      <c r="AB39" s="98">
        <f t="shared" ca="1" si="0"/>
        <v>26.799638330721024</v>
      </c>
      <c r="AC39" s="116">
        <v>18</v>
      </c>
      <c r="AD39" s="116">
        <f t="shared" ca="1" si="2"/>
        <v>26.915279004593351</v>
      </c>
      <c r="AE39" s="116">
        <f t="shared" ca="1" si="3"/>
        <v>26.925133981626612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26.795878591056056</v>
      </c>
      <c r="AC40" s="116">
        <v>19</v>
      </c>
      <c r="AD40" s="116">
        <f t="shared" ca="1" si="2"/>
        <v>26.915279004593351</v>
      </c>
      <c r="AE40" s="116">
        <f t="shared" ca="1" si="3"/>
        <v>26.925133981626612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26.792118851391088</v>
      </c>
      <c r="AC41" s="116">
        <v>20</v>
      </c>
      <c r="AD41" s="116">
        <f t="shared" ca="1" si="2"/>
        <v>26.915279004593351</v>
      </c>
      <c r="AE41" s="116">
        <f t="shared" ca="1" si="3"/>
        <v>26.925133981626612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26.78835911172612</v>
      </c>
    </row>
    <row r="43" spans="26:31">
      <c r="Z43" s="117">
        <v>20</v>
      </c>
      <c r="AA43" s="117">
        <f t="shared" si="1"/>
        <v>23</v>
      </c>
      <c r="AB43" s="98">
        <f t="shared" ca="1" si="0"/>
        <v>26.784599372061152</v>
      </c>
    </row>
    <row r="61" spans="1:2">
      <c r="A61" s="188" t="s">
        <v>127</v>
      </c>
      <c r="B61" s="188"/>
    </row>
    <row r="62" spans="1:2">
      <c r="A62" s="91" t="s">
        <v>120</v>
      </c>
      <c r="B62" s="91" t="s">
        <v>121</v>
      </c>
    </row>
  </sheetData>
  <mergeCells count="12">
    <mergeCell ref="Z1:AB1"/>
    <mergeCell ref="Y2:Y3"/>
    <mergeCell ref="A1:D2"/>
    <mergeCell ref="A6:D7"/>
    <mergeCell ref="A8:B8"/>
    <mergeCell ref="D8:E8"/>
    <mergeCell ref="A61:B61"/>
    <mergeCell ref="E20:E21"/>
    <mergeCell ref="F20:F21"/>
    <mergeCell ref="J28:P32"/>
    <mergeCell ref="E16:E17"/>
    <mergeCell ref="F16:F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8201" r:id="rId3" name="Scroll Bar 9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02" r:id="rId4" name="Scroll Bar 10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E62"/>
  <sheetViews>
    <sheetView workbookViewId="0">
      <selection activeCell="A5" sqref="A5"/>
    </sheetView>
  </sheetViews>
  <sheetFormatPr defaultRowHeight="13.2"/>
  <cols>
    <col min="1" max="4" width="8.88671875" style="40"/>
    <col min="5" max="5" width="11.109375" style="40" bestFit="1" customWidth="1"/>
    <col min="6" max="22" width="8.88671875" style="40"/>
    <col min="23" max="28" width="8.88671875" style="117"/>
    <col min="29" max="29" width="19.88671875" style="117" customWidth="1"/>
    <col min="30" max="31" width="8.88671875" style="117" customWidth="1"/>
    <col min="32" max="16384" width="8.88671875" style="40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 s="106"/>
      <c r="H1" s="122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 s="106"/>
      <c r="H2" s="122"/>
      <c r="W2" s="117">
        <v>0</v>
      </c>
      <c r="X2" s="117">
        <f>D$4*W2+C$4</f>
        <v>26.913609421853288</v>
      </c>
      <c r="Y2" s="193">
        <f ca="1">SLOPE(X2:X3,W2:W3)</f>
        <v>-5.9547109266429032E-3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 s="122"/>
      <c r="H3" s="122"/>
      <c r="W3" s="117">
        <f ca="1">INDIRECT("data!"&amp;A62&amp;A4)</f>
        <v>2</v>
      </c>
      <c r="X3" s="98">
        <f ca="1">INDIRECT("data!"&amp;$B$62&amp;A4)</f>
        <v>26.901700000000002</v>
      </c>
      <c r="Y3" s="193"/>
      <c r="Z3" s="117">
        <v>0</v>
      </c>
      <c r="AA3" s="117">
        <v>0</v>
      </c>
      <c r="AB3" s="98">
        <f t="shared" ref="AB3:AB43" ca="1" si="0">Y$2*Z3+C$4</f>
        <v>26.913609421853288</v>
      </c>
    </row>
    <row r="4" spans="1:30">
      <c r="A4" s="118">
        <v>16</v>
      </c>
      <c r="B4" s="119">
        <v>0.99269590667904573</v>
      </c>
      <c r="C4" s="98">
        <v>26.913609421853288</v>
      </c>
      <c r="D4" s="115">
        <v>-6.0910585153299392E-3</v>
      </c>
      <c r="E4" s="117"/>
      <c r="F4" s="117"/>
      <c r="G4" s="122"/>
      <c r="H4" s="122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26.910632066389965</v>
      </c>
    </row>
    <row r="5" spans="1:30">
      <c r="A5" s="117"/>
      <c r="B5" s="117"/>
      <c r="C5" s="117"/>
      <c r="D5" s="117"/>
      <c r="E5" s="117"/>
      <c r="F5" s="117"/>
      <c r="G5" s="122"/>
      <c r="H5" s="122"/>
      <c r="W5" s="98"/>
      <c r="Z5" s="117">
        <v>1</v>
      </c>
      <c r="AA5" s="117">
        <f t="shared" si="1"/>
        <v>1.1499999999999999</v>
      </c>
      <c r="AB5" s="98">
        <f t="shared" ca="1" si="0"/>
        <v>26.907654710926643</v>
      </c>
    </row>
    <row r="6" spans="1:30">
      <c r="A6" s="189" t="s">
        <v>86</v>
      </c>
      <c r="B6" s="189"/>
      <c r="C6" s="189"/>
      <c r="D6" s="189"/>
      <c r="E6" s="117"/>
      <c r="F6" s="115"/>
      <c r="G6" s="122"/>
      <c r="H6" s="122"/>
      <c r="W6" s="98"/>
      <c r="Z6" s="117">
        <v>1.5</v>
      </c>
      <c r="AA6" s="117">
        <f t="shared" si="1"/>
        <v>1.7249999999999999</v>
      </c>
      <c r="AB6" s="98">
        <f t="shared" ca="1" si="0"/>
        <v>26.904677355463324</v>
      </c>
      <c r="AD6" s="115"/>
    </row>
    <row r="7" spans="1:30">
      <c r="A7" s="189"/>
      <c r="B7" s="189"/>
      <c r="C7" s="189"/>
      <c r="D7" s="189"/>
      <c r="E7" s="115"/>
      <c r="F7" s="115"/>
      <c r="G7" s="106"/>
      <c r="H7" s="122"/>
      <c r="W7" s="98"/>
      <c r="Z7" s="117">
        <v>2</v>
      </c>
      <c r="AA7" s="117">
        <f t="shared" si="1"/>
        <v>2.2999999999999998</v>
      </c>
      <c r="AB7" s="98">
        <f t="shared" ca="1" si="0"/>
        <v>26.901700000000002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 s="106"/>
      <c r="H8" s="122"/>
      <c r="W8" s="98"/>
      <c r="Z8" s="117">
        <v>2.5</v>
      </c>
      <c r="AA8" s="117">
        <f t="shared" si="1"/>
        <v>2.875</v>
      </c>
      <c r="AB8" s="98">
        <f t="shared" ca="1" si="0"/>
        <v>26.898722644536679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 s="122"/>
      <c r="H9" s="122"/>
      <c r="W9" s="98"/>
      <c r="Z9" s="117">
        <v>3</v>
      </c>
      <c r="AA9" s="117">
        <f t="shared" si="1"/>
        <v>3.4499999999999997</v>
      </c>
      <c r="AB9" s="98">
        <f t="shared" ca="1" si="0"/>
        <v>26.895745289073361</v>
      </c>
      <c r="AD9" s="115"/>
    </row>
    <row r="10" spans="1:30" ht="15.6">
      <c r="A10" s="117">
        <f ca="1">D13</f>
        <v>3.2</v>
      </c>
      <c r="B10" s="98">
        <f ca="1">E13</f>
        <v>26.898200000000003</v>
      </c>
      <c r="C10" s="115"/>
      <c r="D10" s="120" t="s">
        <v>80</v>
      </c>
      <c r="E10" s="120" t="s">
        <v>79</v>
      </c>
      <c r="F10" s="117"/>
      <c r="G10" s="122"/>
      <c r="H10" s="122"/>
      <c r="W10" s="98"/>
      <c r="Z10" s="117">
        <v>3.5</v>
      </c>
      <c r="AA10" s="117">
        <f t="shared" si="1"/>
        <v>4.0249999999999995</v>
      </c>
      <c r="AB10" s="98">
        <f t="shared" ca="1" si="0"/>
        <v>26.892767933610038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2</v>
      </c>
      <c r="E11" s="5">
        <f ca="1">INDIRECT("data!"&amp;$B$62&amp;A4+2)</f>
        <v>26.897300000000001</v>
      </c>
      <c r="F11" s="116" t="s">
        <v>94</v>
      </c>
      <c r="G11" s="122"/>
      <c r="H11" s="122"/>
      <c r="W11" s="98"/>
      <c r="Z11" s="117">
        <v>4</v>
      </c>
      <c r="AA11" s="117">
        <f t="shared" si="1"/>
        <v>4.5999999999999996</v>
      </c>
      <c r="AB11" s="98">
        <f t="shared" ca="1" si="0"/>
        <v>26.889790578146716</v>
      </c>
      <c r="AD11" s="115"/>
    </row>
    <row r="12" spans="1:30" ht="13.2" customHeight="1">
      <c r="A12" s="117"/>
      <c r="B12" s="117"/>
      <c r="C12" s="117"/>
      <c r="D12" s="5">
        <v>12</v>
      </c>
      <c r="E12" s="5">
        <v>9</v>
      </c>
      <c r="F12" s="117"/>
      <c r="G12" s="122"/>
      <c r="H12" s="122"/>
      <c r="W12" s="98"/>
      <c r="Z12" s="117">
        <v>4.5</v>
      </c>
      <c r="AA12" s="117">
        <f t="shared" si="1"/>
        <v>5.1749999999999998</v>
      </c>
      <c r="AB12" s="98">
        <f t="shared" ca="1" si="0"/>
        <v>26.886813222683394</v>
      </c>
      <c r="AD12" s="115"/>
    </row>
    <row r="13" spans="1:30">
      <c r="A13" s="117"/>
      <c r="B13" s="117"/>
      <c r="C13" s="117"/>
      <c r="D13" s="5">
        <f ca="1">D12*D9+D11</f>
        <v>3.2</v>
      </c>
      <c r="E13" s="5">
        <f ca="1">E12*E9+E11</f>
        <v>26.898200000000003</v>
      </c>
      <c r="F13" s="117"/>
      <c r="G13" s="122"/>
      <c r="H13" s="122"/>
      <c r="W13" s="98"/>
      <c r="Z13" s="117">
        <v>5</v>
      </c>
      <c r="AA13" s="117">
        <f t="shared" si="1"/>
        <v>5.75</v>
      </c>
      <c r="AB13" s="98">
        <f t="shared" ca="1" si="0"/>
        <v>26.883835867220071</v>
      </c>
      <c r="AD13" s="115"/>
    </row>
    <row r="14" spans="1:30">
      <c r="A14" s="106"/>
      <c r="B14" s="106"/>
      <c r="C14" s="106"/>
      <c r="D14" s="106"/>
      <c r="E14" s="122"/>
      <c r="F14" s="122"/>
      <c r="G14" s="122"/>
      <c r="H14" s="122"/>
      <c r="W14" s="98"/>
      <c r="Z14" s="117">
        <v>5.5</v>
      </c>
      <c r="AA14" s="117">
        <f t="shared" si="1"/>
        <v>6.3249999999999993</v>
      </c>
      <c r="AB14" s="98">
        <f t="shared" ca="1" si="0"/>
        <v>26.880858511756752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 s="106"/>
      <c r="H15" s="122"/>
      <c r="W15" s="98"/>
      <c r="Z15" s="117">
        <v>6</v>
      </c>
      <c r="AA15" s="117">
        <f t="shared" si="1"/>
        <v>6.8999999999999995</v>
      </c>
      <c r="AB15" s="98">
        <f t="shared" ca="1" si="0"/>
        <v>26.87788115629343</v>
      </c>
      <c r="AD15" s="115"/>
    </row>
    <row r="16" spans="1:30" ht="15.6">
      <c r="A16" s="29" t="s">
        <v>81</v>
      </c>
      <c r="B16" s="24">
        <f ca="1">B17-1</f>
        <v>18</v>
      </c>
      <c r="C16" s="125">
        <f ca="1">INDIRECT("data!"&amp;$A$62&amp;B16)</f>
        <v>3.872983346207417</v>
      </c>
      <c r="D16" s="125">
        <f ca="1">INDIRECT("data!"&amp;$B$62&amp;B16)</f>
        <v>26.897300000000001</v>
      </c>
      <c r="E16" s="187">
        <f ca="1">FORECAST(A17,C16:C17,D16:D17)</f>
        <v>4.8752126800100086</v>
      </c>
      <c r="F16" s="195" t="s">
        <v>93</v>
      </c>
      <c r="G16" s="106"/>
      <c r="H16" s="122"/>
      <c r="W16" s="98"/>
      <c r="Z16" s="117">
        <v>6.5</v>
      </c>
      <c r="AA16" s="117">
        <f t="shared" si="1"/>
        <v>7.4749999999999996</v>
      </c>
      <c r="AB16" s="98">
        <f t="shared" ca="1" si="0"/>
        <v>26.874903800830108</v>
      </c>
      <c r="AD16" s="115"/>
    </row>
    <row r="17" spans="1:31">
      <c r="A17" s="126">
        <f ca="1">B10+(1/9)*(B10-C4)</f>
        <v>26.896487842016306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19</v>
      </c>
      <c r="C17" s="125">
        <f ca="1">INDIRECT("data!"&amp;$A$62&amp;B17)</f>
        <v>5.4772255750516612</v>
      </c>
      <c r="D17" s="125">
        <f ca="1">INDIRECT("data!"&amp;$B$62&amp;B17)</f>
        <v>26.896000000000001</v>
      </c>
      <c r="E17" s="187"/>
      <c r="F17" s="187"/>
      <c r="G17" s="122"/>
      <c r="H17" s="122"/>
      <c r="W17" s="98"/>
      <c r="Z17" s="117">
        <v>7</v>
      </c>
      <c r="AA17" s="117">
        <f t="shared" si="1"/>
        <v>8.0499999999999989</v>
      </c>
      <c r="AB17" s="98">
        <f t="shared" ca="1" si="0"/>
        <v>26.871926445366789</v>
      </c>
      <c r="AD17" s="115"/>
    </row>
    <row r="18" spans="1:31">
      <c r="A18" s="5"/>
      <c r="B18" s="24"/>
      <c r="C18" s="5"/>
      <c r="D18" s="5"/>
      <c r="E18" s="5"/>
      <c r="F18" s="5"/>
      <c r="G18" s="122"/>
      <c r="H18" s="122"/>
      <c r="W18" s="98"/>
      <c r="Z18" s="117">
        <v>7.5</v>
      </c>
      <c r="AA18" s="117">
        <f t="shared" si="1"/>
        <v>8.625</v>
      </c>
      <c r="AB18" s="98">
        <f t="shared" ca="1" si="0"/>
        <v>26.868949089903467</v>
      </c>
      <c r="AD18" s="115"/>
    </row>
    <row r="19" spans="1:31">
      <c r="A19" s="5"/>
      <c r="B19" s="24"/>
      <c r="C19" s="5"/>
      <c r="D19" s="5"/>
      <c r="E19" s="5"/>
      <c r="F19" s="5"/>
      <c r="G19" s="122"/>
      <c r="H19" s="122"/>
      <c r="Z19" s="117">
        <v>8</v>
      </c>
      <c r="AA19" s="117">
        <f t="shared" si="1"/>
        <v>9.1999999999999993</v>
      </c>
      <c r="AB19" s="98">
        <f t="shared" ca="1" si="0"/>
        <v>26.865971734440144</v>
      </c>
    </row>
    <row r="20" spans="1:31" ht="15.6">
      <c r="A20" s="29" t="s">
        <v>82</v>
      </c>
      <c r="B20" s="24">
        <f ca="1">B21-1</f>
        <v>14</v>
      </c>
      <c r="C20" s="125">
        <f ca="1">INDIRECT("data!"&amp;$A$62&amp;B20)</f>
        <v>1</v>
      </c>
      <c r="D20" s="125">
        <f ca="1">INDIRECT("data!"&amp;$B$62&amp;B20)</f>
        <v>26.9072</v>
      </c>
      <c r="E20" s="187">
        <f ca="1">FORECAST(A21,C20:C21,D20:D21)</f>
        <v>1.3564503321049415</v>
      </c>
      <c r="F20" s="195" t="s">
        <v>92</v>
      </c>
      <c r="G20" s="132"/>
      <c r="H20" s="122"/>
      <c r="Z20" s="117">
        <v>8.5</v>
      </c>
      <c r="AA20" s="117">
        <f t="shared" si="1"/>
        <v>9.7749999999999986</v>
      </c>
      <c r="AB20" s="98">
        <f t="shared" ca="1" si="0"/>
        <v>26.862994378976822</v>
      </c>
      <c r="AD20" s="121" t="s">
        <v>83</v>
      </c>
      <c r="AE20" s="121" t="s">
        <v>84</v>
      </c>
    </row>
    <row r="21" spans="1:31">
      <c r="A21" s="126">
        <f ca="1">A17-(5/9)*(B10-C4)</f>
        <v>26.905048631934797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15</v>
      </c>
      <c r="C21" s="125">
        <f ca="1">INDIRECT("data!"&amp;$A$62&amp;B21)</f>
        <v>1.4142135623730951</v>
      </c>
      <c r="D21" s="125">
        <f ca="1">INDIRECT("data!"&amp;$B$62&amp;B21)</f>
        <v>26.904699999999998</v>
      </c>
      <c r="E21" s="187"/>
      <c r="F21" s="195"/>
      <c r="G21" s="50"/>
      <c r="Z21" s="117">
        <v>9</v>
      </c>
      <c r="AA21" s="117">
        <f t="shared" si="1"/>
        <v>10.35</v>
      </c>
      <c r="AB21" s="98">
        <f t="shared" ca="1" si="0"/>
        <v>26.8600170235135</v>
      </c>
      <c r="AC21" s="116">
        <v>0</v>
      </c>
      <c r="AD21" s="116">
        <f t="shared" ref="AD21:AD41" ca="1" si="2">A$17</f>
        <v>26.896487842016306</v>
      </c>
      <c r="AE21" s="116">
        <f t="shared" ref="AE21:AE41" ca="1" si="3">A$21</f>
        <v>26.905048631934797</v>
      </c>
    </row>
    <row r="22" spans="1:31">
      <c r="G22"/>
      <c r="H22"/>
      <c r="Z22" s="117">
        <v>9.5</v>
      </c>
      <c r="AA22" s="117">
        <f t="shared" si="1"/>
        <v>10.924999999999999</v>
      </c>
      <c r="AB22" s="98">
        <f t="shared" ca="1" si="0"/>
        <v>26.857039668050181</v>
      </c>
      <c r="AC22" s="116">
        <v>1</v>
      </c>
      <c r="AD22" s="116">
        <f t="shared" ca="1" si="2"/>
        <v>26.896487842016306</v>
      </c>
      <c r="AE22" s="116">
        <f t="shared" ca="1" si="3"/>
        <v>26.905048631934797</v>
      </c>
    </row>
    <row r="23" spans="1:31" ht="13.2" customHeight="1">
      <c r="G23"/>
      <c r="H23"/>
      <c r="Z23" s="117">
        <v>10</v>
      </c>
      <c r="AA23" s="117">
        <f t="shared" si="1"/>
        <v>11.5</v>
      </c>
      <c r="AB23" s="98">
        <f t="shared" ca="1" si="0"/>
        <v>26.854062312586858</v>
      </c>
      <c r="AC23" s="116">
        <v>2</v>
      </c>
      <c r="AD23" s="116">
        <f t="shared" ca="1" si="2"/>
        <v>26.896487842016306</v>
      </c>
      <c r="AE23" s="116">
        <f t="shared" ca="1" si="3"/>
        <v>26.905048631934797</v>
      </c>
    </row>
    <row r="24" spans="1:31" ht="13.2" customHeight="1">
      <c r="G24" s="106"/>
      <c r="H24"/>
      <c r="Z24" s="117">
        <v>10.5</v>
      </c>
      <c r="AA24" s="117">
        <f t="shared" si="1"/>
        <v>12.074999999999999</v>
      </c>
      <c r="AB24" s="98">
        <f t="shared" ca="1" si="0"/>
        <v>26.851084957123536</v>
      </c>
      <c r="AC24" s="116">
        <v>3</v>
      </c>
      <c r="AD24" s="116">
        <f t="shared" ca="1" si="2"/>
        <v>26.896487842016306</v>
      </c>
      <c r="AE24" s="116">
        <f t="shared" ca="1" si="3"/>
        <v>26.905048631934797</v>
      </c>
    </row>
    <row r="25" spans="1:31">
      <c r="G25" s="106"/>
      <c r="H25"/>
      <c r="Z25" s="117">
        <v>11</v>
      </c>
      <c r="AA25" s="117">
        <f t="shared" si="1"/>
        <v>12.649999999999999</v>
      </c>
      <c r="AB25" s="98">
        <f t="shared" ca="1" si="0"/>
        <v>26.848107601660217</v>
      </c>
      <c r="AC25" s="116">
        <v>4</v>
      </c>
      <c r="AD25" s="116">
        <f t="shared" ca="1" si="2"/>
        <v>26.896487842016306</v>
      </c>
      <c r="AE25" s="116">
        <f t="shared" ca="1" si="3"/>
        <v>26.905048631934797</v>
      </c>
    </row>
    <row r="26" spans="1:31">
      <c r="G26"/>
      <c r="H26"/>
      <c r="Z26" s="117">
        <v>11.5</v>
      </c>
      <c r="AA26" s="117">
        <f t="shared" si="1"/>
        <v>13.225</v>
      </c>
      <c r="AB26" s="98">
        <f t="shared" ca="1" si="0"/>
        <v>26.845130246196895</v>
      </c>
      <c r="AC26" s="116">
        <v>5</v>
      </c>
      <c r="AD26" s="116">
        <f t="shared" ca="1" si="2"/>
        <v>26.896487842016306</v>
      </c>
      <c r="AE26" s="116">
        <f t="shared" ca="1" si="3"/>
        <v>26.905048631934797</v>
      </c>
    </row>
    <row r="27" spans="1:31">
      <c r="G27"/>
      <c r="H27"/>
      <c r="Z27" s="117">
        <v>12</v>
      </c>
      <c r="AA27" s="117">
        <f t="shared" si="1"/>
        <v>13.799999999999999</v>
      </c>
      <c r="AB27" s="98">
        <f t="shared" ca="1" si="0"/>
        <v>26.842152890733573</v>
      </c>
      <c r="AC27" s="116">
        <v>6</v>
      </c>
      <c r="AD27" s="116">
        <f t="shared" ca="1" si="2"/>
        <v>26.896487842016306</v>
      </c>
      <c r="AE27" s="116">
        <f t="shared" ca="1" si="3"/>
        <v>26.905048631934797</v>
      </c>
    </row>
    <row r="28" spans="1:31">
      <c r="G28"/>
      <c r="H28"/>
      <c r="J28" s="194" t="s">
        <v>88</v>
      </c>
      <c r="K28" s="194"/>
      <c r="L28" s="194"/>
      <c r="M28" s="194"/>
      <c r="N28" s="194"/>
      <c r="O28" s="194"/>
      <c r="P28" s="194"/>
      <c r="Z28" s="117">
        <v>12.5</v>
      </c>
      <c r="AA28" s="117">
        <f t="shared" si="1"/>
        <v>14.374999999999998</v>
      </c>
      <c r="AB28" s="98">
        <f t="shared" ca="1" si="0"/>
        <v>26.83917553527025</v>
      </c>
      <c r="AC28" s="116">
        <v>7</v>
      </c>
      <c r="AD28" s="116">
        <f t="shared" ca="1" si="2"/>
        <v>26.896487842016306</v>
      </c>
      <c r="AE28" s="116">
        <f t="shared" ca="1" si="3"/>
        <v>26.905048631934797</v>
      </c>
    </row>
    <row r="29" spans="1:31">
      <c r="A29"/>
      <c r="B29"/>
      <c r="C29"/>
      <c r="D29"/>
      <c r="E29"/>
      <c r="F29"/>
      <c r="G29"/>
      <c r="H29"/>
      <c r="J29" s="194"/>
      <c r="K29" s="194"/>
      <c r="L29" s="194"/>
      <c r="M29" s="194"/>
      <c r="N29" s="194"/>
      <c r="O29" s="194"/>
      <c r="P29" s="194"/>
      <c r="Z29" s="117">
        <v>13</v>
      </c>
      <c r="AA29" s="117">
        <f t="shared" si="1"/>
        <v>14.95</v>
      </c>
      <c r="AB29" s="98">
        <f t="shared" ca="1" si="0"/>
        <v>26.836198179806928</v>
      </c>
      <c r="AC29" s="116">
        <v>8</v>
      </c>
      <c r="AD29" s="116">
        <f t="shared" ca="1" si="2"/>
        <v>26.896487842016306</v>
      </c>
      <c r="AE29" s="116">
        <f t="shared" ca="1" si="3"/>
        <v>26.905048631934797</v>
      </c>
    </row>
    <row r="30" spans="1:31">
      <c r="A30"/>
      <c r="B30"/>
      <c r="C30"/>
      <c r="D30"/>
      <c r="E30"/>
      <c r="F30"/>
      <c r="G30"/>
      <c r="H30"/>
      <c r="J30" s="194"/>
      <c r="K30" s="194"/>
      <c r="L30" s="194"/>
      <c r="M30" s="194"/>
      <c r="N30" s="194"/>
      <c r="O30" s="194"/>
      <c r="P30" s="194"/>
      <c r="Z30" s="117">
        <v>13.5</v>
      </c>
      <c r="AA30" s="117">
        <f t="shared" si="1"/>
        <v>15.524999999999999</v>
      </c>
      <c r="AB30" s="98">
        <f t="shared" ca="1" si="0"/>
        <v>26.833220824343609</v>
      </c>
      <c r="AC30" s="116">
        <v>9</v>
      </c>
      <c r="AD30" s="116">
        <f t="shared" ca="1" si="2"/>
        <v>26.896487842016306</v>
      </c>
      <c r="AE30" s="116">
        <f t="shared" ca="1" si="3"/>
        <v>26.905048631934797</v>
      </c>
    </row>
    <row r="31" spans="1:31">
      <c r="J31" s="194"/>
      <c r="K31" s="194"/>
      <c r="L31" s="194"/>
      <c r="M31" s="194"/>
      <c r="N31" s="194"/>
      <c r="O31" s="194"/>
      <c r="P31" s="194"/>
      <c r="Z31" s="117">
        <v>14</v>
      </c>
      <c r="AA31" s="117">
        <f t="shared" si="1"/>
        <v>16.099999999999998</v>
      </c>
      <c r="AB31" s="98">
        <f t="shared" ca="1" si="0"/>
        <v>26.830243468880287</v>
      </c>
      <c r="AC31" s="116">
        <v>10</v>
      </c>
      <c r="AD31" s="116">
        <f t="shared" ca="1" si="2"/>
        <v>26.896487842016306</v>
      </c>
      <c r="AE31" s="116">
        <f t="shared" ca="1" si="3"/>
        <v>26.905048631934797</v>
      </c>
    </row>
    <row r="32" spans="1:31">
      <c r="J32" s="194"/>
      <c r="K32" s="194"/>
      <c r="L32" s="194"/>
      <c r="M32" s="194"/>
      <c r="N32" s="194"/>
      <c r="O32" s="194"/>
      <c r="P32" s="194"/>
      <c r="Z32" s="117">
        <v>14.5</v>
      </c>
      <c r="AA32" s="117">
        <f t="shared" si="1"/>
        <v>16.674999999999997</v>
      </c>
      <c r="AB32" s="98">
        <f t="shared" ca="1" si="0"/>
        <v>26.827266113416965</v>
      </c>
      <c r="AC32" s="116">
        <v>11</v>
      </c>
      <c r="AD32" s="116">
        <f t="shared" ca="1" si="2"/>
        <v>26.896487842016306</v>
      </c>
      <c r="AE32" s="116">
        <f t="shared" ca="1" si="3"/>
        <v>26.905048631934797</v>
      </c>
    </row>
    <row r="33" spans="26:31">
      <c r="Z33" s="117">
        <v>15</v>
      </c>
      <c r="AA33" s="117">
        <f t="shared" si="1"/>
        <v>17.25</v>
      </c>
      <c r="AB33" s="98">
        <f t="shared" ca="1" si="0"/>
        <v>26.824288757953646</v>
      </c>
      <c r="AC33" s="116">
        <v>12</v>
      </c>
      <c r="AD33" s="116">
        <f t="shared" ca="1" si="2"/>
        <v>26.896487842016306</v>
      </c>
      <c r="AE33" s="116">
        <f t="shared" ca="1" si="3"/>
        <v>26.905048631934797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26.821311402490323</v>
      </c>
      <c r="AC34" s="116">
        <v>13</v>
      </c>
      <c r="AD34" s="116">
        <f t="shared" ca="1" si="2"/>
        <v>26.896487842016306</v>
      </c>
      <c r="AE34" s="116">
        <f t="shared" ca="1" si="3"/>
        <v>26.905048631934797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26.818334047027001</v>
      </c>
      <c r="AC35" s="116">
        <v>14</v>
      </c>
      <c r="AD35" s="116">
        <f t="shared" ca="1" si="2"/>
        <v>26.896487842016306</v>
      </c>
      <c r="AE35" s="116">
        <f t="shared" ca="1" si="3"/>
        <v>26.905048631934797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26.815356691563679</v>
      </c>
      <c r="AC36" s="116">
        <v>15</v>
      </c>
      <c r="AD36" s="116">
        <f t="shared" ca="1" si="2"/>
        <v>26.896487842016306</v>
      </c>
      <c r="AE36" s="116">
        <f t="shared" ca="1" si="3"/>
        <v>26.905048631934797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26.812379336100356</v>
      </c>
      <c r="AC37" s="116">
        <v>16</v>
      </c>
      <c r="AD37" s="116">
        <f t="shared" ca="1" si="2"/>
        <v>26.896487842016306</v>
      </c>
      <c r="AE37" s="116">
        <f t="shared" ca="1" si="3"/>
        <v>26.905048631934797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26.809401980637038</v>
      </c>
      <c r="AC38" s="116">
        <v>17</v>
      </c>
      <c r="AD38" s="116">
        <f t="shared" ca="1" si="2"/>
        <v>26.896487842016306</v>
      </c>
      <c r="AE38" s="116">
        <f t="shared" ca="1" si="3"/>
        <v>26.905048631934797</v>
      </c>
    </row>
    <row r="39" spans="26:31">
      <c r="Z39" s="117">
        <v>18</v>
      </c>
      <c r="AA39" s="117">
        <f t="shared" si="1"/>
        <v>20.7</v>
      </c>
      <c r="AB39" s="98">
        <f t="shared" ca="1" si="0"/>
        <v>26.806424625173715</v>
      </c>
      <c r="AC39" s="116">
        <v>18</v>
      </c>
      <c r="AD39" s="116">
        <f t="shared" ca="1" si="2"/>
        <v>26.896487842016306</v>
      </c>
      <c r="AE39" s="116">
        <f t="shared" ca="1" si="3"/>
        <v>26.905048631934797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26.803447269710393</v>
      </c>
      <c r="AC40" s="116">
        <v>19</v>
      </c>
      <c r="AD40" s="116">
        <f t="shared" ca="1" si="2"/>
        <v>26.896487842016306</v>
      </c>
      <c r="AE40" s="116">
        <f t="shared" ca="1" si="3"/>
        <v>26.905048631934797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26.800469914247074</v>
      </c>
      <c r="AC41" s="116">
        <v>20</v>
      </c>
      <c r="AD41" s="116">
        <f t="shared" ca="1" si="2"/>
        <v>26.896487842016306</v>
      </c>
      <c r="AE41" s="116">
        <f t="shared" ca="1" si="3"/>
        <v>26.905048631934797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26.797492558783752</v>
      </c>
    </row>
    <row r="43" spans="26:31">
      <c r="Z43" s="117">
        <v>20</v>
      </c>
      <c r="AA43" s="117">
        <f t="shared" si="1"/>
        <v>23</v>
      </c>
      <c r="AB43" s="98">
        <f t="shared" ca="1" si="0"/>
        <v>26.794515203320429</v>
      </c>
    </row>
    <row r="61" spans="1:2">
      <c r="A61" s="188" t="s">
        <v>127</v>
      </c>
      <c r="B61" s="188"/>
    </row>
    <row r="62" spans="1:2">
      <c r="A62" s="91" t="s">
        <v>122</v>
      </c>
      <c r="B62" s="91" t="s">
        <v>123</v>
      </c>
    </row>
  </sheetData>
  <mergeCells count="12">
    <mergeCell ref="Z1:AB1"/>
    <mergeCell ref="Y2:Y3"/>
    <mergeCell ref="A1:D2"/>
    <mergeCell ref="A6:D7"/>
    <mergeCell ref="A8:B8"/>
    <mergeCell ref="D8:E8"/>
    <mergeCell ref="A61:B61"/>
    <mergeCell ref="E20:E21"/>
    <mergeCell ref="F20:F21"/>
    <mergeCell ref="J28:P32"/>
    <mergeCell ref="E16:E17"/>
    <mergeCell ref="F16:F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9225" r:id="rId3" name="Scroll Bar 9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226" r:id="rId4" name="Scroll Bar 10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E62"/>
  <sheetViews>
    <sheetView workbookViewId="0">
      <selection activeCell="E20" sqref="E20:E21"/>
    </sheetView>
  </sheetViews>
  <sheetFormatPr defaultRowHeight="13.2"/>
  <cols>
    <col min="1" max="3" width="8.88671875" style="40"/>
    <col min="4" max="4" width="8" style="40" bestFit="1" customWidth="1"/>
    <col min="5" max="5" width="11.109375" style="40" bestFit="1" customWidth="1"/>
    <col min="6" max="22" width="8.88671875" style="40"/>
    <col min="23" max="28" width="8.88671875" style="117"/>
    <col min="29" max="29" width="19.88671875" style="117" customWidth="1"/>
    <col min="30" max="31" width="8.88671875" style="117" customWidth="1"/>
    <col min="32" max="16384" width="8.88671875" style="40"/>
  </cols>
  <sheetData>
    <row r="1" spans="1:30" ht="17.399999999999999" customHeight="1">
      <c r="A1" s="189" t="s">
        <v>85</v>
      </c>
      <c r="B1" s="189"/>
      <c r="C1" s="189"/>
      <c r="D1" s="189"/>
      <c r="E1" s="117"/>
      <c r="F1" s="115"/>
      <c r="G1" s="106"/>
      <c r="H1" s="122"/>
      <c r="W1" s="116" t="s">
        <v>75</v>
      </c>
      <c r="X1" s="116" t="s">
        <v>76</v>
      </c>
      <c r="Y1" s="116" t="s">
        <v>136</v>
      </c>
      <c r="Z1" s="192" t="s">
        <v>135</v>
      </c>
      <c r="AA1" s="192"/>
      <c r="AB1" s="192"/>
    </row>
    <row r="2" spans="1:30" ht="13.2" customHeight="1">
      <c r="A2" s="189"/>
      <c r="B2" s="189"/>
      <c r="C2" s="189"/>
      <c r="D2" s="189"/>
      <c r="E2" s="117"/>
      <c r="F2" s="115"/>
      <c r="G2" s="106"/>
      <c r="H2" s="122"/>
      <c r="W2" s="117">
        <v>0</v>
      </c>
      <c r="X2" s="117">
        <f>D$4*W2+C$4</f>
        <v>26.949615055506182</v>
      </c>
      <c r="Y2" s="193">
        <f ca="1">SLOPE(X2:X3,W2:W3)</f>
        <v>-7.7830111012367809E-2</v>
      </c>
      <c r="Z2" s="116" t="s">
        <v>75</v>
      </c>
      <c r="AA2" s="117" t="s">
        <v>78</v>
      </c>
      <c r="AB2" s="117" t="s">
        <v>76</v>
      </c>
    </row>
    <row r="3" spans="1:30" ht="13.2" customHeight="1">
      <c r="A3" s="105" t="s">
        <v>137</v>
      </c>
      <c r="B3" s="117" t="s">
        <v>132</v>
      </c>
      <c r="C3" s="117" t="s">
        <v>133</v>
      </c>
      <c r="D3" s="116" t="s">
        <v>134</v>
      </c>
      <c r="E3" s="117"/>
      <c r="F3" s="117"/>
      <c r="G3" s="122"/>
      <c r="H3" s="122"/>
      <c r="W3" s="117">
        <f ca="1">INDIRECT("data!"&amp;A62&amp;A4)</f>
        <v>0.5</v>
      </c>
      <c r="X3" s="98">
        <f ca="1">INDIRECT("data!"&amp;$B$62&amp;A4)</f>
        <v>26.910699999999999</v>
      </c>
      <c r="Y3" s="193"/>
      <c r="Z3" s="117">
        <v>0</v>
      </c>
      <c r="AA3" s="117">
        <v>0</v>
      </c>
      <c r="AB3" s="98">
        <f t="shared" ref="AB3:AB43" ca="1" si="0">Y$2*Z3+C$4</f>
        <v>26.949615055506182</v>
      </c>
    </row>
    <row r="4" spans="1:30">
      <c r="A4" s="118">
        <v>12</v>
      </c>
      <c r="B4" s="119">
        <v>0.88978312031159923</v>
      </c>
      <c r="C4" s="98">
        <v>26.949615055506182</v>
      </c>
      <c r="D4" s="115">
        <v>-8.9307383984594313E-2</v>
      </c>
      <c r="E4" s="117"/>
      <c r="F4" s="117"/>
      <c r="G4" s="122"/>
      <c r="H4" s="122"/>
      <c r="W4" s="98"/>
      <c r="Z4" s="117">
        <v>0.5</v>
      </c>
      <c r="AA4" s="117">
        <f t="shared" ref="AA4:AA43" si="1">Z4*1.15</f>
        <v>0.57499999999999996</v>
      </c>
      <c r="AB4" s="98">
        <f t="shared" ca="1" si="0"/>
        <v>26.910699999999999</v>
      </c>
    </row>
    <row r="5" spans="1:30">
      <c r="A5" s="117"/>
      <c r="B5" s="117"/>
      <c r="C5" s="117"/>
      <c r="D5" s="117"/>
      <c r="E5" s="117"/>
      <c r="F5" s="117"/>
      <c r="G5" s="122"/>
      <c r="H5" s="122"/>
      <c r="W5" s="98"/>
      <c r="Z5" s="117">
        <v>1</v>
      </c>
      <c r="AA5" s="117">
        <f t="shared" si="1"/>
        <v>1.1499999999999999</v>
      </c>
      <c r="AB5" s="98">
        <f t="shared" ca="1" si="0"/>
        <v>26.871784944493815</v>
      </c>
    </row>
    <row r="6" spans="1:30">
      <c r="A6" s="189" t="s">
        <v>86</v>
      </c>
      <c r="B6" s="189"/>
      <c r="C6" s="189"/>
      <c r="D6" s="189"/>
      <c r="E6" s="117"/>
      <c r="F6" s="115"/>
      <c r="G6" s="122"/>
      <c r="H6" s="122"/>
      <c r="W6" s="98"/>
      <c r="Z6" s="117">
        <v>1.5</v>
      </c>
      <c r="AA6" s="117">
        <f t="shared" si="1"/>
        <v>1.7249999999999999</v>
      </c>
      <c r="AB6" s="98">
        <f t="shared" ca="1" si="0"/>
        <v>26.832869888987631</v>
      </c>
      <c r="AD6" s="115"/>
    </row>
    <row r="7" spans="1:30">
      <c r="A7" s="189"/>
      <c r="B7" s="189"/>
      <c r="C7" s="189"/>
      <c r="D7" s="189"/>
      <c r="E7" s="115"/>
      <c r="F7" s="115"/>
      <c r="G7" s="106"/>
      <c r="H7" s="122"/>
      <c r="W7" s="98"/>
      <c r="Z7" s="117">
        <v>2</v>
      </c>
      <c r="AA7" s="117">
        <f t="shared" si="1"/>
        <v>2.2999999999999998</v>
      </c>
      <c r="AB7" s="98">
        <f t="shared" ca="1" si="0"/>
        <v>26.793954833481447</v>
      </c>
      <c r="AD7" s="115"/>
    </row>
    <row r="8" spans="1:30" ht="15.6">
      <c r="A8" s="190" t="s">
        <v>89</v>
      </c>
      <c r="B8" s="190"/>
      <c r="C8" s="115"/>
      <c r="D8" s="191" t="s">
        <v>77</v>
      </c>
      <c r="E8" s="191"/>
      <c r="F8" s="117"/>
      <c r="G8" s="106"/>
      <c r="H8" s="122"/>
      <c r="W8" s="98"/>
      <c r="Z8" s="117">
        <v>2.5</v>
      </c>
      <c r="AA8" s="117">
        <f t="shared" si="1"/>
        <v>2.875</v>
      </c>
      <c r="AB8" s="98">
        <f t="shared" ca="1" si="0"/>
        <v>26.755039777975263</v>
      </c>
      <c r="AD8" s="115"/>
    </row>
    <row r="9" spans="1:30" ht="16.2" thickBot="1">
      <c r="A9" s="116" t="s">
        <v>80</v>
      </c>
      <c r="B9" s="116" t="s">
        <v>79</v>
      </c>
      <c r="C9" s="117"/>
      <c r="D9" s="130">
        <v>0.1</v>
      </c>
      <c r="E9" s="129">
        <v>1E-4</v>
      </c>
      <c r="F9" s="117"/>
      <c r="G9" s="122"/>
      <c r="H9" s="122"/>
      <c r="W9" s="98"/>
      <c r="Z9" s="117">
        <v>3</v>
      </c>
      <c r="AA9" s="117">
        <f t="shared" si="1"/>
        <v>3.4499999999999997</v>
      </c>
      <c r="AB9" s="98">
        <f t="shared" ca="1" si="0"/>
        <v>26.716124722469079</v>
      </c>
      <c r="AD9" s="115"/>
    </row>
    <row r="10" spans="1:30" ht="15.6">
      <c r="A10" s="117">
        <f ca="1">D13</f>
        <v>1.7000000000000002</v>
      </c>
      <c r="B10" s="98">
        <f ca="1">E13</f>
        <v>26.908100000000001</v>
      </c>
      <c r="C10" s="115"/>
      <c r="D10" s="120" t="s">
        <v>80</v>
      </c>
      <c r="E10" s="120" t="s">
        <v>79</v>
      </c>
      <c r="F10" s="117"/>
      <c r="G10" s="122"/>
      <c r="H10" s="122"/>
      <c r="W10" s="98"/>
      <c r="Z10" s="117">
        <v>3.5</v>
      </c>
      <c r="AA10" s="117">
        <f t="shared" si="1"/>
        <v>4.0249999999999995</v>
      </c>
      <c r="AB10" s="98">
        <f t="shared" ca="1" si="0"/>
        <v>26.677209666962895</v>
      </c>
      <c r="AD10" s="115"/>
    </row>
    <row r="11" spans="1:30" ht="13.2" customHeight="1">
      <c r="A11" s="117"/>
      <c r="B11" s="117"/>
      <c r="C11" s="117"/>
      <c r="D11" s="5">
        <f ca="1">INDIRECT("data!"&amp;$A$62&amp;A4)</f>
        <v>0.5</v>
      </c>
      <c r="E11" s="5">
        <f ca="1">INDIRECT("data!"&amp;$B$62&amp;A4+2)</f>
        <v>26.9072</v>
      </c>
      <c r="F11" s="116" t="s">
        <v>94</v>
      </c>
      <c r="G11" s="122"/>
      <c r="H11" s="122"/>
      <c r="W11" s="98"/>
      <c r="Z11" s="117">
        <v>4</v>
      </c>
      <c r="AA11" s="117">
        <f t="shared" si="1"/>
        <v>4.5999999999999996</v>
      </c>
      <c r="AB11" s="98">
        <f t="shared" ca="1" si="0"/>
        <v>26.638294611456711</v>
      </c>
      <c r="AD11" s="115"/>
    </row>
    <row r="12" spans="1:30" ht="13.2" customHeight="1">
      <c r="A12" s="117"/>
      <c r="B12" s="117"/>
      <c r="C12" s="117"/>
      <c r="D12" s="5">
        <v>12</v>
      </c>
      <c r="E12" s="5">
        <v>9</v>
      </c>
      <c r="F12" s="117"/>
      <c r="G12" s="122"/>
      <c r="H12" s="122"/>
      <c r="W12" s="98"/>
      <c r="Z12" s="117">
        <v>4.5</v>
      </c>
      <c r="AA12" s="117">
        <f t="shared" si="1"/>
        <v>5.1749999999999998</v>
      </c>
      <c r="AB12" s="98">
        <f t="shared" ca="1" si="0"/>
        <v>26.599379555950527</v>
      </c>
      <c r="AD12" s="115"/>
    </row>
    <row r="13" spans="1:30">
      <c r="A13" s="117"/>
      <c r="B13" s="117"/>
      <c r="C13" s="117"/>
      <c r="D13" s="5">
        <f ca="1">D12*D9+D11</f>
        <v>1.7000000000000002</v>
      </c>
      <c r="E13" s="5">
        <f ca="1">E12*E9+E11</f>
        <v>26.908100000000001</v>
      </c>
      <c r="F13" s="117"/>
      <c r="G13" s="122"/>
      <c r="H13" s="122"/>
      <c r="W13" s="98"/>
      <c r="Z13" s="117">
        <v>5</v>
      </c>
      <c r="AA13" s="117">
        <f t="shared" si="1"/>
        <v>5.75</v>
      </c>
      <c r="AB13" s="98">
        <f t="shared" ca="1" si="0"/>
        <v>26.560464500444343</v>
      </c>
      <c r="AD13" s="115"/>
    </row>
    <row r="14" spans="1:30">
      <c r="A14" s="106"/>
      <c r="B14" s="106"/>
      <c r="C14" s="106"/>
      <c r="D14" s="106"/>
      <c r="E14" s="122"/>
      <c r="F14" s="122"/>
      <c r="G14" s="122"/>
      <c r="H14" s="122"/>
      <c r="W14" s="98"/>
      <c r="Z14" s="117">
        <v>5.5</v>
      </c>
      <c r="AA14" s="117">
        <f t="shared" si="1"/>
        <v>6.3249999999999993</v>
      </c>
      <c r="AB14" s="98">
        <f t="shared" ca="1" si="0"/>
        <v>26.521549444938159</v>
      </c>
      <c r="AD14" s="115"/>
    </row>
    <row r="15" spans="1:30" ht="66">
      <c r="A15" s="5"/>
      <c r="B15" s="123" t="s">
        <v>103</v>
      </c>
      <c r="C15" s="29" t="s">
        <v>75</v>
      </c>
      <c r="D15" s="29" t="s">
        <v>76</v>
      </c>
      <c r="E15" s="124" t="s">
        <v>126</v>
      </c>
      <c r="F15" s="29"/>
      <c r="G15" s="106"/>
      <c r="H15" s="122"/>
      <c r="W15" s="98"/>
      <c r="Z15" s="117">
        <v>6</v>
      </c>
      <c r="AA15" s="117">
        <f t="shared" si="1"/>
        <v>6.8999999999999995</v>
      </c>
      <c r="AB15" s="98">
        <f t="shared" ca="1" si="0"/>
        <v>26.482634389431976</v>
      </c>
      <c r="AD15" s="115"/>
    </row>
    <row r="16" spans="1:30" ht="15.6">
      <c r="A16" s="29" t="s">
        <v>81</v>
      </c>
      <c r="B16" s="24">
        <f ca="1">B17-1</f>
        <v>15</v>
      </c>
      <c r="C16" s="125">
        <f ca="1">INDIRECT("data!"&amp;$A$62&amp;B16)</f>
        <v>1.4142135623730951</v>
      </c>
      <c r="D16" s="125">
        <f ca="1">INDIRECT("data!"&amp;$B$62&amp;B16)</f>
        <v>26.904699999999998</v>
      </c>
      <c r="E16" s="187">
        <f ca="1">FORECAST(A17,C16:C17,D16:D17)</f>
        <v>1.6510243579823509</v>
      </c>
      <c r="F16" s="195" t="s">
        <v>93</v>
      </c>
      <c r="G16" s="106"/>
      <c r="H16" s="122"/>
      <c r="W16" s="98"/>
      <c r="Z16" s="117">
        <v>6.5</v>
      </c>
      <c r="AA16" s="117">
        <f t="shared" si="1"/>
        <v>7.4749999999999996</v>
      </c>
      <c r="AB16" s="98">
        <f t="shared" ca="1" si="0"/>
        <v>26.443719333925792</v>
      </c>
      <c r="AD16" s="115"/>
    </row>
    <row r="17" spans="1:31">
      <c r="A17" s="126">
        <f ca="1">B10+(1/9)*(B10-C4)</f>
        <v>26.90348721605487</v>
      </c>
      <c r="B17" s="24">
        <f t="array" aca="1" ref="B17" ca="1">MATCH(MAX(INDIRECT("data!"&amp;$B$62&amp;"$10:$"&amp;$B$62&amp;"$28")*(INDIRECT("data!"&amp;$B$62&amp;"$10:$"&amp;$B$62&amp;"$28")&lt;=A17)),INDIRECT("data!"&amp;$B$62&amp;"$10:$"&amp;$B$62&amp;"$28"),0)+9</f>
        <v>16</v>
      </c>
      <c r="C17" s="125">
        <f ca="1">INDIRECT("data!"&amp;$A$62&amp;B17)</f>
        <v>2</v>
      </c>
      <c r="D17" s="125">
        <f ca="1">INDIRECT("data!"&amp;$B$62&amp;B17)</f>
        <v>26.901700000000002</v>
      </c>
      <c r="E17" s="187"/>
      <c r="F17" s="187"/>
      <c r="G17" s="122"/>
      <c r="H17" s="122"/>
      <c r="W17" s="98"/>
      <c r="Z17" s="117">
        <v>7</v>
      </c>
      <c r="AA17" s="117">
        <f t="shared" si="1"/>
        <v>8.0499999999999989</v>
      </c>
      <c r="AB17" s="98">
        <f t="shared" ca="1" si="0"/>
        <v>26.404804278419608</v>
      </c>
      <c r="AD17" s="115"/>
    </row>
    <row r="18" spans="1:31">
      <c r="A18" s="5"/>
      <c r="B18" s="24"/>
      <c r="C18" s="5"/>
      <c r="D18" s="5"/>
      <c r="E18" s="5"/>
      <c r="F18" s="5"/>
      <c r="G18" s="122"/>
      <c r="H18" s="122"/>
      <c r="W18" s="98"/>
      <c r="Z18" s="117">
        <v>7.5</v>
      </c>
      <c r="AA18" s="117">
        <f t="shared" si="1"/>
        <v>8.625</v>
      </c>
      <c r="AB18" s="98">
        <f t="shared" ca="1" si="0"/>
        <v>26.365889222913424</v>
      </c>
      <c r="AD18" s="115"/>
    </row>
    <row r="19" spans="1:31">
      <c r="A19" s="5"/>
      <c r="B19" s="24"/>
      <c r="C19" s="5"/>
      <c r="D19" s="5"/>
      <c r="E19" s="5"/>
      <c r="F19" s="5"/>
      <c r="G19" s="122"/>
      <c r="H19" s="122"/>
      <c r="Z19" s="117">
        <v>8</v>
      </c>
      <c r="AA19" s="117">
        <f t="shared" si="1"/>
        <v>9.1999999999999993</v>
      </c>
      <c r="AB19" s="98">
        <f t="shared" ca="1" si="0"/>
        <v>26.32697416740724</v>
      </c>
    </row>
    <row r="20" spans="1:31" ht="15.6">
      <c r="A20" s="29" t="s">
        <v>82</v>
      </c>
      <c r="B20" s="24">
        <f ca="1">B21-1</f>
        <v>10</v>
      </c>
      <c r="C20" s="125">
        <f ca="1">INDIRECT("data!"&amp;$A$62&amp;B20)</f>
        <v>0</v>
      </c>
      <c r="D20" s="125">
        <f ca="1">INDIRECT("data!"&amp;$B$62&amp;B20)</f>
        <v>26.955950000000001</v>
      </c>
      <c r="E20" s="187">
        <f ca="1">FORECAST(A21,C20:C21,D20:D21)</f>
        <v>0.21298366908490607</v>
      </c>
      <c r="F20" s="195" t="s">
        <v>92</v>
      </c>
      <c r="G20" s="132"/>
      <c r="H20" s="122"/>
      <c r="Z20" s="117">
        <v>8.5</v>
      </c>
      <c r="AA20" s="117">
        <f t="shared" si="1"/>
        <v>9.7749999999999986</v>
      </c>
      <c r="AB20" s="98">
        <f t="shared" ca="1" si="0"/>
        <v>26.288059111901056</v>
      </c>
      <c r="AD20" s="121" t="s">
        <v>83</v>
      </c>
      <c r="AE20" s="121" t="s">
        <v>84</v>
      </c>
    </row>
    <row r="21" spans="1:31">
      <c r="A21" s="126">
        <f ca="1">A17-(5/9)*(B10-C4)</f>
        <v>26.926551135780528</v>
      </c>
      <c r="B21" s="24">
        <f t="array" aca="1" ref="B21" ca="1">MATCH(MAX(INDIRECT("data!"&amp;$B$62&amp;"$10:$"&amp;$B$62&amp;"$28")*(INDIRECT("data!"&amp;$B$62&amp;"$10:$"&amp;$B$62&amp;"$28")&lt;=A21)),INDIRECT("data!"&amp;$B$62&amp;"$10:$"&amp;$B$62&amp;"$28"),0)+9</f>
        <v>11</v>
      </c>
      <c r="C21" s="125">
        <f ca="1">INDIRECT("data!"&amp;$A$62&amp;B21)</f>
        <v>0.31622776601683794</v>
      </c>
      <c r="D21" s="125">
        <f ca="1">INDIRECT("data!"&amp;$B$62&amp;B21)</f>
        <v>26.912299999999998</v>
      </c>
      <c r="E21" s="187"/>
      <c r="F21" s="195"/>
      <c r="G21" s="50"/>
      <c r="Z21" s="117">
        <v>9</v>
      </c>
      <c r="AA21" s="117">
        <f t="shared" si="1"/>
        <v>10.35</v>
      </c>
      <c r="AB21" s="98">
        <f t="shared" ca="1" si="0"/>
        <v>26.249144056394872</v>
      </c>
      <c r="AC21" s="116">
        <v>0</v>
      </c>
      <c r="AD21" s="116">
        <f t="shared" ref="AD21:AD41" ca="1" si="2">A$17</f>
        <v>26.90348721605487</v>
      </c>
      <c r="AE21" s="116">
        <f t="shared" ref="AE21:AE41" ca="1" si="3">A$21</f>
        <v>26.926551135780528</v>
      </c>
    </row>
    <row r="22" spans="1:31">
      <c r="M22" s="35">
        <v>1</v>
      </c>
      <c r="N22" s="35" t="e">
        <f>#REF!</f>
        <v>#REF!</v>
      </c>
      <c r="O22" s="35" t="e">
        <f>#REF!</f>
        <v>#REF!</v>
      </c>
      <c r="Z22" s="117">
        <v>9.5</v>
      </c>
      <c r="AA22" s="117">
        <f t="shared" si="1"/>
        <v>10.924999999999999</v>
      </c>
      <c r="AB22" s="98">
        <f t="shared" ca="1" si="0"/>
        <v>26.210229000888688</v>
      </c>
      <c r="AC22" s="116">
        <v>1</v>
      </c>
      <c r="AD22" s="116">
        <f t="shared" ca="1" si="2"/>
        <v>26.90348721605487</v>
      </c>
      <c r="AE22" s="116">
        <f t="shared" ca="1" si="3"/>
        <v>26.926551135780528</v>
      </c>
    </row>
    <row r="23" spans="1:31" ht="13.2" customHeight="1">
      <c r="M23" s="35">
        <v>2</v>
      </c>
      <c r="N23" s="35" t="e">
        <f>#REF!</f>
        <v>#REF!</v>
      </c>
      <c r="O23" s="35" t="e">
        <f>#REF!</f>
        <v>#REF!</v>
      </c>
      <c r="Z23" s="117">
        <v>10</v>
      </c>
      <c r="AA23" s="117">
        <f t="shared" si="1"/>
        <v>11.5</v>
      </c>
      <c r="AB23" s="98">
        <f t="shared" ca="1" si="0"/>
        <v>26.171313945382504</v>
      </c>
      <c r="AC23" s="116">
        <v>2</v>
      </c>
      <c r="AD23" s="116">
        <f t="shared" ca="1" si="2"/>
        <v>26.90348721605487</v>
      </c>
      <c r="AE23" s="116">
        <f t="shared" ca="1" si="3"/>
        <v>26.926551135780528</v>
      </c>
    </row>
    <row r="24" spans="1:31" ht="13.2" customHeight="1">
      <c r="M24" s="35">
        <v>3</v>
      </c>
      <c r="N24" s="35" t="e">
        <f>#REF!</f>
        <v>#REF!</v>
      </c>
      <c r="O24" s="35" t="e">
        <f>#REF!</f>
        <v>#REF!</v>
      </c>
      <c r="Z24" s="117">
        <v>10.5</v>
      </c>
      <c r="AA24" s="117">
        <f t="shared" si="1"/>
        <v>12.074999999999999</v>
      </c>
      <c r="AB24" s="98">
        <f t="shared" ca="1" si="0"/>
        <v>26.13239888987632</v>
      </c>
      <c r="AC24" s="116">
        <v>3</v>
      </c>
      <c r="AD24" s="116">
        <f t="shared" ca="1" si="2"/>
        <v>26.90348721605487</v>
      </c>
      <c r="AE24" s="116">
        <f t="shared" ca="1" si="3"/>
        <v>26.926551135780528</v>
      </c>
    </row>
    <row r="25" spans="1:31">
      <c r="M25" s="35">
        <v>4</v>
      </c>
      <c r="N25" s="35" t="e">
        <f>#REF!</f>
        <v>#REF!</v>
      </c>
      <c r="O25" s="35" t="e">
        <f>#REF!</f>
        <v>#REF!</v>
      </c>
      <c r="Z25" s="117">
        <v>11</v>
      </c>
      <c r="AA25" s="117">
        <f t="shared" si="1"/>
        <v>12.649999999999999</v>
      </c>
      <c r="AB25" s="98">
        <f t="shared" ca="1" si="0"/>
        <v>26.093483834370137</v>
      </c>
      <c r="AC25" s="116">
        <v>4</v>
      </c>
      <c r="AD25" s="116">
        <f t="shared" ca="1" si="2"/>
        <v>26.90348721605487</v>
      </c>
      <c r="AE25" s="116">
        <f t="shared" ca="1" si="3"/>
        <v>26.926551135780528</v>
      </c>
    </row>
    <row r="26" spans="1:31">
      <c r="M26" s="35">
        <v>5</v>
      </c>
      <c r="N26" s="35" t="e">
        <f>#REF!</f>
        <v>#REF!</v>
      </c>
      <c r="O26" s="35" t="e">
        <f>#REF!</f>
        <v>#REF!</v>
      </c>
      <c r="Z26" s="117">
        <v>11.5</v>
      </c>
      <c r="AA26" s="117">
        <f t="shared" si="1"/>
        <v>13.225</v>
      </c>
      <c r="AB26" s="98">
        <f t="shared" ca="1" si="0"/>
        <v>26.054568778863953</v>
      </c>
      <c r="AC26" s="116">
        <v>5</v>
      </c>
      <c r="AD26" s="116">
        <f t="shared" ca="1" si="2"/>
        <v>26.90348721605487</v>
      </c>
      <c r="AE26" s="116">
        <f t="shared" ca="1" si="3"/>
        <v>26.926551135780528</v>
      </c>
    </row>
    <row r="27" spans="1:31">
      <c r="M27" s="35">
        <v>6</v>
      </c>
      <c r="N27" s="35" t="e">
        <f>#REF!</f>
        <v>#REF!</v>
      </c>
      <c r="O27" s="35" t="e">
        <f>#REF!</f>
        <v>#REF!</v>
      </c>
      <c r="Z27" s="117">
        <v>12</v>
      </c>
      <c r="AA27" s="117">
        <f t="shared" si="1"/>
        <v>13.799999999999999</v>
      </c>
      <c r="AB27" s="98">
        <f t="shared" ca="1" si="0"/>
        <v>26.015653723357769</v>
      </c>
      <c r="AC27" s="116">
        <v>6</v>
      </c>
      <c r="AD27" s="116">
        <f t="shared" ca="1" si="2"/>
        <v>26.90348721605487</v>
      </c>
      <c r="AE27" s="116">
        <f t="shared" ca="1" si="3"/>
        <v>26.926551135780528</v>
      </c>
    </row>
    <row r="28" spans="1:31" ht="13.2" customHeight="1">
      <c r="M28" s="35">
        <v>7</v>
      </c>
      <c r="N28" s="35"/>
      <c r="O28" s="35"/>
      <c r="Z28" s="117">
        <v>12.5</v>
      </c>
      <c r="AA28" s="117">
        <f t="shared" si="1"/>
        <v>14.374999999999998</v>
      </c>
      <c r="AB28" s="98">
        <f t="shared" ca="1" si="0"/>
        <v>25.976738667851585</v>
      </c>
      <c r="AC28" s="116">
        <v>7</v>
      </c>
      <c r="AD28" s="116">
        <f t="shared" ca="1" si="2"/>
        <v>26.90348721605487</v>
      </c>
      <c r="AE28" s="116">
        <f t="shared" ca="1" si="3"/>
        <v>26.926551135780528</v>
      </c>
    </row>
    <row r="29" spans="1:31" ht="13.2" customHeight="1">
      <c r="A29" s="97"/>
      <c r="M29" s="35">
        <v>8</v>
      </c>
      <c r="N29" s="35"/>
      <c r="O29" s="35"/>
      <c r="Z29" s="117">
        <v>13</v>
      </c>
      <c r="AA29" s="117">
        <f t="shared" si="1"/>
        <v>14.95</v>
      </c>
      <c r="AB29" s="98">
        <f t="shared" ca="1" si="0"/>
        <v>25.937823612345401</v>
      </c>
      <c r="AC29" s="116">
        <v>8</v>
      </c>
      <c r="AD29" s="116">
        <f t="shared" ca="1" si="2"/>
        <v>26.90348721605487</v>
      </c>
      <c r="AE29" s="116">
        <f t="shared" ca="1" si="3"/>
        <v>26.926551135780528</v>
      </c>
    </row>
    <row r="30" spans="1:31" ht="13.2" customHeight="1">
      <c r="A30" s="97"/>
      <c r="M30" s="35">
        <v>9</v>
      </c>
      <c r="N30" s="35"/>
      <c r="O30" s="35"/>
      <c r="Z30" s="117">
        <v>13.5</v>
      </c>
      <c r="AA30" s="117">
        <f t="shared" si="1"/>
        <v>15.524999999999999</v>
      </c>
      <c r="AB30" s="98">
        <f t="shared" ca="1" si="0"/>
        <v>25.898908556839217</v>
      </c>
      <c r="AC30" s="116">
        <v>9</v>
      </c>
      <c r="AD30" s="116">
        <f t="shared" ca="1" si="2"/>
        <v>26.90348721605487</v>
      </c>
      <c r="AE30" s="116">
        <f t="shared" ca="1" si="3"/>
        <v>26.926551135780528</v>
      </c>
    </row>
    <row r="31" spans="1:31" ht="13.8">
      <c r="J31" s="97"/>
      <c r="K31" s="97"/>
      <c r="L31" s="97"/>
      <c r="M31" s="97"/>
      <c r="N31" s="97"/>
      <c r="O31" s="97"/>
      <c r="P31" s="97"/>
      <c r="Z31" s="117">
        <v>14</v>
      </c>
      <c r="AA31" s="117">
        <f t="shared" si="1"/>
        <v>16.099999999999998</v>
      </c>
      <c r="AB31" s="98">
        <f t="shared" ca="1" si="0"/>
        <v>25.859993501333033</v>
      </c>
      <c r="AC31" s="116">
        <v>10</v>
      </c>
      <c r="AD31" s="116">
        <f t="shared" ca="1" si="2"/>
        <v>26.90348721605487</v>
      </c>
      <c r="AE31" s="116">
        <f t="shared" ca="1" si="3"/>
        <v>26.926551135780528</v>
      </c>
    </row>
    <row r="32" spans="1:31" ht="13.8">
      <c r="J32" s="97"/>
      <c r="K32" s="97"/>
      <c r="L32" s="97"/>
      <c r="M32" s="97"/>
      <c r="N32" s="97"/>
      <c r="O32" s="97"/>
      <c r="P32" s="97"/>
      <c r="Z32" s="117">
        <v>14.5</v>
      </c>
      <c r="AA32" s="117">
        <f t="shared" si="1"/>
        <v>16.674999999999997</v>
      </c>
      <c r="AB32" s="98">
        <f t="shared" ca="1" si="0"/>
        <v>25.821078445826849</v>
      </c>
      <c r="AC32" s="116">
        <v>11</v>
      </c>
      <c r="AD32" s="116">
        <f t="shared" ca="1" si="2"/>
        <v>26.90348721605487</v>
      </c>
      <c r="AE32" s="116">
        <f t="shared" ca="1" si="3"/>
        <v>26.926551135780528</v>
      </c>
    </row>
    <row r="33" spans="26:31">
      <c r="Z33" s="117">
        <v>15</v>
      </c>
      <c r="AA33" s="117">
        <f t="shared" si="1"/>
        <v>17.25</v>
      </c>
      <c r="AB33" s="98">
        <f t="shared" ca="1" si="0"/>
        <v>25.782163390320665</v>
      </c>
      <c r="AC33" s="116">
        <v>12</v>
      </c>
      <c r="AD33" s="116">
        <f t="shared" ca="1" si="2"/>
        <v>26.90348721605487</v>
      </c>
      <c r="AE33" s="116">
        <f t="shared" ca="1" si="3"/>
        <v>26.926551135780528</v>
      </c>
    </row>
    <row r="34" spans="26:31">
      <c r="Z34" s="117">
        <v>15.5</v>
      </c>
      <c r="AA34" s="117">
        <f t="shared" si="1"/>
        <v>17.824999999999999</v>
      </c>
      <c r="AB34" s="98">
        <f t="shared" ca="1" si="0"/>
        <v>25.743248334814481</v>
      </c>
      <c r="AC34" s="116">
        <v>13</v>
      </c>
      <c r="AD34" s="116">
        <f t="shared" ca="1" si="2"/>
        <v>26.90348721605487</v>
      </c>
      <c r="AE34" s="116">
        <f t="shared" ca="1" si="3"/>
        <v>26.926551135780528</v>
      </c>
    </row>
    <row r="35" spans="26:31">
      <c r="Z35" s="117">
        <v>16</v>
      </c>
      <c r="AA35" s="117">
        <f t="shared" si="1"/>
        <v>18.399999999999999</v>
      </c>
      <c r="AB35" s="98">
        <f t="shared" ca="1" si="0"/>
        <v>25.704333279308297</v>
      </c>
      <c r="AC35" s="116">
        <v>14</v>
      </c>
      <c r="AD35" s="116">
        <f t="shared" ca="1" si="2"/>
        <v>26.90348721605487</v>
      </c>
      <c r="AE35" s="116">
        <f t="shared" ca="1" si="3"/>
        <v>26.926551135780528</v>
      </c>
    </row>
    <row r="36" spans="26:31">
      <c r="Z36" s="117">
        <v>16.5</v>
      </c>
      <c r="AA36" s="117">
        <f t="shared" si="1"/>
        <v>18.974999999999998</v>
      </c>
      <c r="AB36" s="98">
        <f t="shared" ca="1" si="0"/>
        <v>25.665418223802114</v>
      </c>
      <c r="AC36" s="116">
        <v>15</v>
      </c>
      <c r="AD36" s="116">
        <f t="shared" ca="1" si="2"/>
        <v>26.90348721605487</v>
      </c>
      <c r="AE36" s="116">
        <f t="shared" ca="1" si="3"/>
        <v>26.926551135780528</v>
      </c>
    </row>
    <row r="37" spans="26:31">
      <c r="Z37" s="117">
        <v>17</v>
      </c>
      <c r="AA37" s="117">
        <f t="shared" si="1"/>
        <v>19.549999999999997</v>
      </c>
      <c r="AB37" s="98">
        <f t="shared" ca="1" si="0"/>
        <v>25.62650316829593</v>
      </c>
      <c r="AC37" s="116">
        <v>16</v>
      </c>
      <c r="AD37" s="116">
        <f t="shared" ca="1" si="2"/>
        <v>26.90348721605487</v>
      </c>
      <c r="AE37" s="116">
        <f t="shared" ca="1" si="3"/>
        <v>26.926551135780528</v>
      </c>
    </row>
    <row r="38" spans="26:31">
      <c r="Z38" s="117">
        <v>17.5</v>
      </c>
      <c r="AA38" s="117">
        <f t="shared" si="1"/>
        <v>20.125</v>
      </c>
      <c r="AB38" s="98">
        <f t="shared" ca="1" si="0"/>
        <v>25.587588112789746</v>
      </c>
      <c r="AC38" s="116">
        <v>17</v>
      </c>
      <c r="AD38" s="116">
        <f t="shared" ca="1" si="2"/>
        <v>26.90348721605487</v>
      </c>
      <c r="AE38" s="116">
        <f t="shared" ca="1" si="3"/>
        <v>26.926551135780528</v>
      </c>
    </row>
    <row r="39" spans="26:31">
      <c r="Z39" s="117">
        <v>18</v>
      </c>
      <c r="AA39" s="117">
        <f t="shared" si="1"/>
        <v>20.7</v>
      </c>
      <c r="AB39" s="98">
        <f t="shared" ca="1" si="0"/>
        <v>25.548673057283562</v>
      </c>
      <c r="AC39" s="116">
        <v>18</v>
      </c>
      <c r="AD39" s="116">
        <f t="shared" ca="1" si="2"/>
        <v>26.90348721605487</v>
      </c>
      <c r="AE39" s="116">
        <f t="shared" ca="1" si="3"/>
        <v>26.926551135780528</v>
      </c>
    </row>
    <row r="40" spans="26:31">
      <c r="Z40" s="117">
        <v>18.5</v>
      </c>
      <c r="AA40" s="117">
        <f t="shared" si="1"/>
        <v>21.274999999999999</v>
      </c>
      <c r="AB40" s="98">
        <f t="shared" ca="1" si="0"/>
        <v>25.509758001777378</v>
      </c>
      <c r="AC40" s="116">
        <v>19</v>
      </c>
      <c r="AD40" s="116">
        <f t="shared" ca="1" si="2"/>
        <v>26.90348721605487</v>
      </c>
      <c r="AE40" s="116">
        <f t="shared" ca="1" si="3"/>
        <v>26.926551135780528</v>
      </c>
    </row>
    <row r="41" spans="26:31">
      <c r="Z41" s="117">
        <v>19</v>
      </c>
      <c r="AA41" s="117">
        <f t="shared" si="1"/>
        <v>21.849999999999998</v>
      </c>
      <c r="AB41" s="98">
        <f t="shared" ca="1" si="0"/>
        <v>25.470842946271194</v>
      </c>
      <c r="AC41" s="116">
        <v>20</v>
      </c>
      <c r="AD41" s="116">
        <f t="shared" ca="1" si="2"/>
        <v>26.90348721605487</v>
      </c>
      <c r="AE41" s="116">
        <f t="shared" ca="1" si="3"/>
        <v>26.926551135780528</v>
      </c>
    </row>
    <row r="42" spans="26:31">
      <c r="Z42" s="117">
        <v>19.5</v>
      </c>
      <c r="AA42" s="117">
        <f t="shared" si="1"/>
        <v>22.424999999999997</v>
      </c>
      <c r="AB42" s="98">
        <f t="shared" ca="1" si="0"/>
        <v>25.43192789076501</v>
      </c>
    </row>
    <row r="43" spans="26:31">
      <c r="Z43" s="117">
        <v>20</v>
      </c>
      <c r="AA43" s="117">
        <f t="shared" si="1"/>
        <v>23</v>
      </c>
      <c r="AB43" s="98">
        <f t="shared" ca="1" si="0"/>
        <v>25.393012835258826</v>
      </c>
    </row>
    <row r="61" spans="1:2">
      <c r="A61" s="188" t="s">
        <v>127</v>
      </c>
      <c r="B61" s="188"/>
    </row>
    <row r="62" spans="1:2">
      <c r="A62" s="91" t="s">
        <v>124</v>
      </c>
      <c r="B62" s="91" t="s">
        <v>125</v>
      </c>
    </row>
  </sheetData>
  <mergeCells count="11">
    <mergeCell ref="Z1:AB1"/>
    <mergeCell ref="Y2:Y3"/>
    <mergeCell ref="A1:D2"/>
    <mergeCell ref="A6:D7"/>
    <mergeCell ref="A8:B8"/>
    <mergeCell ref="D8:E8"/>
    <mergeCell ref="A61:B61"/>
    <mergeCell ref="E20:E21"/>
    <mergeCell ref="F20:F21"/>
    <mergeCell ref="E16:E17"/>
    <mergeCell ref="F16:F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0249" r:id="rId3" name="Scroll Bar 9">
              <controlPr defaultSize="0" autoPict="0">
                <anchor moveWithCells="1">
                  <from>
                    <xdr:col>1</xdr:col>
                    <xdr:colOff>53340</xdr:colOff>
                    <xdr:row>10</xdr:row>
                    <xdr:rowOff>45720</xdr:rowOff>
                  </from>
                  <to>
                    <xdr:col>1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0250" r:id="rId4" name="Scroll Bar 10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30480</xdr:rowOff>
                  </from>
                  <to>
                    <xdr:col>0</xdr:col>
                    <xdr:colOff>586740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D35"/>
  <sheetViews>
    <sheetView workbookViewId="0">
      <selection activeCell="E29" sqref="E29"/>
    </sheetView>
  </sheetViews>
  <sheetFormatPr defaultRowHeight="13.2"/>
  <cols>
    <col min="1" max="27" width="8.88671875" style="40"/>
    <col min="28" max="30" width="8.88671875" style="40" customWidth="1"/>
    <col min="31" max="16384" width="8.88671875" style="40"/>
  </cols>
  <sheetData>
    <row r="1" spans="1:8" ht="17.399999999999999" customHeight="1">
      <c r="A1" s="189" t="s">
        <v>85</v>
      </c>
      <c r="B1" s="189"/>
      <c r="C1" s="189"/>
      <c r="D1" s="189"/>
      <c r="F1" s="201" t="s">
        <v>77</v>
      </c>
      <c r="G1" s="202"/>
    </row>
    <row r="2" spans="1:8" ht="13.2" customHeight="1" thickBot="1">
      <c r="A2" s="189"/>
      <c r="B2" s="189"/>
      <c r="C2" s="189"/>
      <c r="D2" s="189"/>
      <c r="F2" s="197">
        <v>0.01</v>
      </c>
      <c r="G2" s="197"/>
    </row>
    <row r="3" spans="1:8" ht="13.2" customHeight="1">
      <c r="A3" s="41" t="s">
        <v>75</v>
      </c>
      <c r="B3" s="41" t="s">
        <v>76</v>
      </c>
      <c r="F3" s="47">
        <v>0</v>
      </c>
      <c r="G3" s="47">
        <v>26.908899999999999</v>
      </c>
      <c r="H3" s="41" t="s">
        <v>94</v>
      </c>
    </row>
    <row r="4" spans="1:8">
      <c r="F4" s="44">
        <v>0</v>
      </c>
      <c r="G4" s="44">
        <v>9</v>
      </c>
    </row>
    <row r="5" spans="1:8">
      <c r="F5" s="44">
        <f>F4*F2+F3</f>
        <v>0</v>
      </c>
      <c r="G5" s="44">
        <f>G4*F2+G3</f>
        <v>26.998899999999999</v>
      </c>
    </row>
    <row r="6" spans="1:8">
      <c r="A6" s="40">
        <f>F5</f>
        <v>0</v>
      </c>
      <c r="B6" s="40">
        <f>G5</f>
        <v>26.998899999999999</v>
      </c>
      <c r="F6" s="54"/>
      <c r="G6" s="54"/>
    </row>
    <row r="7" spans="1:8">
      <c r="A7" s="40">
        <f>F11</f>
        <v>10.15</v>
      </c>
      <c r="B7" s="40">
        <f>G11</f>
        <v>26.979999999999997</v>
      </c>
      <c r="F7" s="201" t="s">
        <v>77</v>
      </c>
      <c r="G7" s="202"/>
    </row>
    <row r="8" spans="1:8" ht="13.8" thickBot="1">
      <c r="F8" s="197">
        <v>0.01</v>
      </c>
      <c r="G8" s="197"/>
    </row>
    <row r="9" spans="1:8">
      <c r="F9" s="47">
        <v>4</v>
      </c>
      <c r="G9" s="47">
        <v>26.9</v>
      </c>
      <c r="H9" s="41" t="s">
        <v>94</v>
      </c>
    </row>
    <row r="10" spans="1:8">
      <c r="F10" s="44">
        <v>615</v>
      </c>
      <c r="G10" s="44">
        <v>8</v>
      </c>
    </row>
    <row r="11" spans="1:8" ht="13.2" customHeight="1">
      <c r="A11" s="189" t="s">
        <v>86</v>
      </c>
      <c r="B11" s="189"/>
      <c r="C11" s="189"/>
      <c r="D11" s="189"/>
      <c r="F11" s="44">
        <f>F10*F8+F9</f>
        <v>10.15</v>
      </c>
      <c r="G11" s="44">
        <f>G10*F8+G9</f>
        <v>26.979999999999997</v>
      </c>
    </row>
    <row r="12" spans="1:8" ht="13.2" customHeight="1">
      <c r="A12" s="189"/>
      <c r="B12" s="189"/>
      <c r="C12" s="189"/>
      <c r="D12" s="189"/>
      <c r="F12" s="52"/>
      <c r="G12" s="52"/>
      <c r="H12" s="50"/>
    </row>
    <row r="13" spans="1:8">
      <c r="F13" s="50"/>
      <c r="G13" s="50"/>
      <c r="H13" s="50"/>
    </row>
    <row r="14" spans="1:8" ht="16.2" thickBot="1">
      <c r="A14" s="199" t="s">
        <v>78</v>
      </c>
      <c r="B14" s="199"/>
      <c r="C14" s="198" t="s">
        <v>89</v>
      </c>
      <c r="D14" s="198"/>
      <c r="F14" s="51"/>
      <c r="G14" s="51"/>
      <c r="H14" s="50"/>
    </row>
    <row r="15" spans="1:8" ht="15.6">
      <c r="A15" s="42" t="s">
        <v>75</v>
      </c>
      <c r="B15" s="42" t="s">
        <v>76</v>
      </c>
      <c r="C15" s="41" t="s">
        <v>80</v>
      </c>
      <c r="D15" s="41" t="s">
        <v>79</v>
      </c>
      <c r="F15" s="200" t="s">
        <v>77</v>
      </c>
      <c r="G15" s="200"/>
    </row>
    <row r="16" spans="1:8" ht="13.8" thickBot="1">
      <c r="A16" s="43">
        <f>A7*1.15</f>
        <v>11.672499999999999</v>
      </c>
      <c r="B16" s="44">
        <f>B7</f>
        <v>26.979999999999997</v>
      </c>
      <c r="C16" s="40">
        <f>F20</f>
        <v>7</v>
      </c>
      <c r="D16" s="40">
        <f>G20</f>
        <v>26.986000000000001</v>
      </c>
      <c r="F16" s="197">
        <v>0.01</v>
      </c>
      <c r="G16" s="197"/>
    </row>
    <row r="17" spans="1:30" ht="15.6">
      <c r="F17" s="48" t="s">
        <v>80</v>
      </c>
      <c r="G17" s="48" t="s">
        <v>79</v>
      </c>
    </row>
    <row r="18" spans="1:30">
      <c r="F18" s="44">
        <v>7</v>
      </c>
      <c r="G18" s="44">
        <v>26.986000000000001</v>
      </c>
      <c r="H18" s="41" t="s">
        <v>94</v>
      </c>
    </row>
    <row r="19" spans="1:30">
      <c r="F19" s="44">
        <v>0</v>
      </c>
      <c r="G19" s="44">
        <v>0</v>
      </c>
    </row>
    <row r="20" spans="1:30">
      <c r="F20" s="44">
        <f>F19*F16+F18</f>
        <v>7</v>
      </c>
      <c r="G20" s="44">
        <f>G19*F16+G18</f>
        <v>26.986000000000001</v>
      </c>
      <c r="AB20" s="35" t="s">
        <v>75</v>
      </c>
      <c r="AC20" s="35" t="s">
        <v>83</v>
      </c>
      <c r="AD20" s="35" t="s">
        <v>84</v>
      </c>
    </row>
    <row r="21" spans="1:30">
      <c r="F21" s="52"/>
      <c r="G21" s="52"/>
      <c r="AB21" s="35">
        <v>0</v>
      </c>
      <c r="AC21" s="35">
        <f t="shared" ref="AC21:AC35" si="0">B$28</f>
        <v>26.984566666666666</v>
      </c>
      <c r="AD21" s="35">
        <f t="shared" ref="AD21:AD35" si="1">D$28</f>
        <v>26.991733333333332</v>
      </c>
    </row>
    <row r="22" spans="1:30">
      <c r="F22" s="50"/>
      <c r="G22" s="50"/>
      <c r="AB22" s="35">
        <v>1</v>
      </c>
      <c r="AC22" s="35">
        <f t="shared" si="0"/>
        <v>26.984566666666666</v>
      </c>
      <c r="AD22" s="35">
        <f t="shared" si="1"/>
        <v>26.991733333333332</v>
      </c>
    </row>
    <row r="23" spans="1:30" ht="13.2" customHeight="1">
      <c r="A23" s="189" t="s">
        <v>87</v>
      </c>
      <c r="B23" s="189"/>
      <c r="C23" s="189"/>
      <c r="D23" s="189"/>
      <c r="F23" s="53"/>
      <c r="G23" s="53"/>
      <c r="AB23" s="35">
        <v>2</v>
      </c>
      <c r="AC23" s="35">
        <f t="shared" si="0"/>
        <v>26.984566666666666</v>
      </c>
      <c r="AD23" s="35">
        <f t="shared" si="1"/>
        <v>26.991733333333332</v>
      </c>
    </row>
    <row r="24" spans="1:30" ht="13.2" customHeight="1">
      <c r="A24" s="189"/>
      <c r="B24" s="189"/>
      <c r="C24" s="189"/>
      <c r="D24" s="189"/>
      <c r="F24" s="201" t="s">
        <v>77</v>
      </c>
      <c r="G24" s="201"/>
      <c r="AB24" s="35">
        <v>3</v>
      </c>
      <c r="AC24" s="35">
        <f t="shared" si="0"/>
        <v>26.984566666666666</v>
      </c>
      <c r="AD24" s="35">
        <f t="shared" si="1"/>
        <v>26.991733333333332</v>
      </c>
    </row>
    <row r="25" spans="1:30" ht="13.8" thickBot="1">
      <c r="F25" s="197">
        <v>0.01</v>
      </c>
      <c r="G25" s="197"/>
      <c r="AB25" s="35">
        <v>4</v>
      </c>
      <c r="AC25" s="35">
        <f t="shared" si="0"/>
        <v>26.984566666666666</v>
      </c>
      <c r="AD25" s="35">
        <f t="shared" si="1"/>
        <v>26.991733333333332</v>
      </c>
    </row>
    <row r="26" spans="1:30" ht="15.6">
      <c r="A26" s="198" t="s">
        <v>90</v>
      </c>
      <c r="B26" s="198"/>
      <c r="C26" s="198" t="s">
        <v>91</v>
      </c>
      <c r="D26" s="198"/>
      <c r="F26" s="48" t="s">
        <v>93</v>
      </c>
      <c r="G26" s="48" t="s">
        <v>92</v>
      </c>
      <c r="AB26" s="35">
        <v>5</v>
      </c>
      <c r="AC26" s="35">
        <f t="shared" si="0"/>
        <v>26.984566666666666</v>
      </c>
      <c r="AD26" s="35">
        <f t="shared" si="1"/>
        <v>26.991733333333332</v>
      </c>
    </row>
    <row r="27" spans="1:30" ht="15.6">
      <c r="A27" s="41" t="s">
        <v>93</v>
      </c>
      <c r="B27" s="41" t="s">
        <v>81</v>
      </c>
      <c r="C27" s="41" t="s">
        <v>92</v>
      </c>
      <c r="D27" s="41" t="s">
        <v>82</v>
      </c>
      <c r="F27" s="44">
        <v>6.5</v>
      </c>
      <c r="G27" s="44">
        <v>3.2</v>
      </c>
      <c r="H27" s="41" t="s">
        <v>94</v>
      </c>
      <c r="AB27" s="35">
        <v>6</v>
      </c>
      <c r="AC27" s="35">
        <f t="shared" si="0"/>
        <v>26.984566666666666</v>
      </c>
      <c r="AD27" s="35">
        <f t="shared" si="1"/>
        <v>26.991733333333332</v>
      </c>
    </row>
    <row r="28" spans="1:30">
      <c r="A28" s="40">
        <f>F29</f>
        <v>9.67</v>
      </c>
      <c r="B28" s="40">
        <f>D16+(1/9)*(D16-B6)</f>
        <v>26.984566666666666</v>
      </c>
      <c r="C28" s="40">
        <f>G29</f>
        <v>3.23</v>
      </c>
      <c r="D28" s="40">
        <f>B28-(5/9)*(D16-B6)</f>
        <v>26.991733333333332</v>
      </c>
      <c r="F28" s="44">
        <v>317</v>
      </c>
      <c r="G28" s="44">
        <v>3</v>
      </c>
      <c r="J28" s="194" t="s">
        <v>88</v>
      </c>
      <c r="K28" s="194"/>
      <c r="L28" s="194"/>
      <c r="M28" s="194"/>
      <c r="N28" s="194"/>
      <c r="O28" s="194"/>
      <c r="P28" s="194"/>
      <c r="AB28" s="35">
        <v>7</v>
      </c>
      <c r="AC28" s="35">
        <f t="shared" si="0"/>
        <v>26.984566666666666</v>
      </c>
      <c r="AD28" s="35">
        <f t="shared" si="1"/>
        <v>26.991733333333332</v>
      </c>
    </row>
    <row r="29" spans="1:30">
      <c r="F29" s="44">
        <f>F28*F25+F27</f>
        <v>9.67</v>
      </c>
      <c r="G29" s="44">
        <f>G28*F25+G27</f>
        <v>3.23</v>
      </c>
      <c r="J29" s="194"/>
      <c r="K29" s="194"/>
      <c r="L29" s="194"/>
      <c r="M29" s="194"/>
      <c r="N29" s="194"/>
      <c r="O29" s="194"/>
      <c r="P29" s="194"/>
      <c r="AB29" s="35">
        <v>8</v>
      </c>
      <c r="AC29" s="35">
        <f t="shared" si="0"/>
        <v>26.984566666666666</v>
      </c>
      <c r="AD29" s="35">
        <f t="shared" si="1"/>
        <v>26.991733333333332</v>
      </c>
    </row>
    <row r="30" spans="1:30">
      <c r="J30" s="194"/>
      <c r="K30" s="194"/>
      <c r="L30" s="194"/>
      <c r="M30" s="194"/>
      <c r="N30" s="194"/>
      <c r="O30" s="194"/>
      <c r="P30" s="194"/>
      <c r="AB30" s="35">
        <v>9</v>
      </c>
      <c r="AC30" s="35">
        <f t="shared" si="0"/>
        <v>26.984566666666666</v>
      </c>
      <c r="AD30" s="35">
        <f t="shared" si="1"/>
        <v>26.991733333333332</v>
      </c>
    </row>
    <row r="31" spans="1:30">
      <c r="B31" s="35">
        <v>22</v>
      </c>
      <c r="D31" s="35">
        <v>3</v>
      </c>
      <c r="J31" s="194"/>
      <c r="K31" s="194"/>
      <c r="L31" s="194"/>
      <c r="M31" s="194"/>
      <c r="N31" s="194"/>
      <c r="O31" s="194"/>
      <c r="P31" s="194"/>
      <c r="AB31" s="35">
        <v>10</v>
      </c>
      <c r="AC31" s="35">
        <f t="shared" si="0"/>
        <v>26.984566666666666</v>
      </c>
      <c r="AD31" s="35">
        <f t="shared" si="1"/>
        <v>26.991733333333332</v>
      </c>
    </row>
    <row r="32" spans="1:30">
      <c r="J32" s="194"/>
      <c r="K32" s="194"/>
      <c r="L32" s="194"/>
      <c r="M32" s="194"/>
      <c r="N32" s="194"/>
      <c r="O32" s="194"/>
      <c r="P32" s="194"/>
      <c r="AB32" s="35">
        <v>11</v>
      </c>
      <c r="AC32" s="35">
        <f t="shared" si="0"/>
        <v>26.984566666666666</v>
      </c>
      <c r="AD32" s="35">
        <f t="shared" si="1"/>
        <v>26.991733333333332</v>
      </c>
    </row>
    <row r="33" spans="28:30">
      <c r="AB33" s="35">
        <v>12</v>
      </c>
      <c r="AC33" s="35">
        <f t="shared" si="0"/>
        <v>26.984566666666666</v>
      </c>
      <c r="AD33" s="35">
        <f t="shared" si="1"/>
        <v>26.991733333333332</v>
      </c>
    </row>
    <row r="34" spans="28:30">
      <c r="AB34" s="35">
        <v>13</v>
      </c>
      <c r="AC34" s="35">
        <f t="shared" si="0"/>
        <v>26.984566666666666</v>
      </c>
      <c r="AD34" s="35">
        <f t="shared" si="1"/>
        <v>26.991733333333332</v>
      </c>
    </row>
    <row r="35" spans="28:30">
      <c r="AB35" s="35">
        <v>14</v>
      </c>
      <c r="AC35" s="35">
        <f t="shared" si="0"/>
        <v>26.984566666666666</v>
      </c>
      <c r="AD35" s="35">
        <f t="shared" si="1"/>
        <v>26.991733333333332</v>
      </c>
    </row>
  </sheetData>
  <mergeCells count="16">
    <mergeCell ref="A11:D12"/>
    <mergeCell ref="A1:D2"/>
    <mergeCell ref="F1:G1"/>
    <mergeCell ref="F2:G2"/>
    <mergeCell ref="F7:G7"/>
    <mergeCell ref="F8:G8"/>
    <mergeCell ref="F25:G25"/>
    <mergeCell ref="A26:B26"/>
    <mergeCell ref="C26:D26"/>
    <mergeCell ref="J28:P32"/>
    <mergeCell ref="A14:B14"/>
    <mergeCell ref="C14:D14"/>
    <mergeCell ref="F15:G15"/>
    <mergeCell ref="F16:G16"/>
    <mergeCell ref="A23:D24"/>
    <mergeCell ref="F24:G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1265" r:id="rId3" name="Scroll Bar 1">
              <controlPr defaultSize="0" autoPict="0">
                <anchor moveWithCells="1">
                  <from>
                    <xdr:col>1</xdr:col>
                    <xdr:colOff>22860</xdr:colOff>
                    <xdr:row>7</xdr:row>
                    <xdr:rowOff>76200</xdr:rowOff>
                  </from>
                  <to>
                    <xdr:col>1</xdr:col>
                    <xdr:colOff>586740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66" r:id="rId4" name="Scroll Bar 2">
              <controlPr defaultSize="0" autoPict="0">
                <anchor moveWithCells="1">
                  <from>
                    <xdr:col>0</xdr:col>
                    <xdr:colOff>45720</xdr:colOff>
                    <xdr:row>7</xdr:row>
                    <xdr:rowOff>76200</xdr:rowOff>
                  </from>
                  <to>
                    <xdr:col>0</xdr:col>
                    <xdr:colOff>563880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67" r:id="rId5" name="Scroll Bar 3">
              <controlPr defaultSize="0" autoPict="0">
                <anchor moveWithCells="1">
                  <from>
                    <xdr:col>3</xdr:col>
                    <xdr:colOff>53340</xdr:colOff>
                    <xdr:row>16</xdr:row>
                    <xdr:rowOff>45720</xdr:rowOff>
                  </from>
                  <to>
                    <xdr:col>3</xdr:col>
                    <xdr:colOff>563880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68" r:id="rId6" name="Scroll Bar 4">
              <controlPr defaultSize="0" autoPict="0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2</xdr:col>
                    <xdr:colOff>586740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69" r:id="rId7" name="Scroll Bar 5">
              <controlPr defaultSize="0" autoPict="0">
                <anchor moveWithCells="1">
                  <from>
                    <xdr:col>2</xdr:col>
                    <xdr:colOff>38100</xdr:colOff>
                    <xdr:row>28</xdr:row>
                    <xdr:rowOff>22860</xdr:rowOff>
                  </from>
                  <to>
                    <xdr:col>2</xdr:col>
                    <xdr:colOff>586740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70" r:id="rId8" name="Scroll Bar 6">
              <controlPr defaultSize="0" autoPict="0">
                <anchor moveWithCells="1">
                  <from>
                    <xdr:col>0</xdr:col>
                    <xdr:colOff>30480</xdr:colOff>
                    <xdr:row>28</xdr:row>
                    <xdr:rowOff>30480</xdr:rowOff>
                  </from>
                  <to>
                    <xdr:col>1</xdr:col>
                    <xdr:colOff>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71" r:id="rId9" name="Scroll Bar 7">
              <controlPr defaultSize="0" autoPict="0">
                <anchor moveWithCells="1">
                  <from>
                    <xdr:col>1</xdr:col>
                    <xdr:colOff>45720</xdr:colOff>
                    <xdr:row>3</xdr:row>
                    <xdr:rowOff>45720</xdr:rowOff>
                  </from>
                  <to>
                    <xdr:col>1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72" r:id="rId10" name="Scroll Bar 8">
              <controlPr defaultSize="0" autoPict="0">
                <anchor moveWithCells="1">
                  <from>
                    <xdr:col>0</xdr:col>
                    <xdr:colOff>38100</xdr:colOff>
                    <xdr:row>3</xdr:row>
                    <xdr:rowOff>45720</xdr:rowOff>
                  </from>
                  <to>
                    <xdr:col>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D35"/>
  <sheetViews>
    <sheetView topLeftCell="E1" workbookViewId="0">
      <selection activeCell="E29" sqref="E29"/>
    </sheetView>
  </sheetViews>
  <sheetFormatPr defaultRowHeight="13.2"/>
  <cols>
    <col min="1" max="27" width="8.88671875" style="40"/>
    <col min="28" max="30" width="8.88671875" style="40" customWidth="1"/>
    <col min="31" max="16384" width="8.88671875" style="40"/>
  </cols>
  <sheetData>
    <row r="1" spans="1:8" ht="17.399999999999999" customHeight="1">
      <c r="A1" s="189" t="s">
        <v>85</v>
      </c>
      <c r="B1" s="189"/>
      <c r="C1" s="189"/>
      <c r="D1" s="189"/>
      <c r="F1" s="201" t="s">
        <v>77</v>
      </c>
      <c r="G1" s="202"/>
    </row>
    <row r="2" spans="1:8" ht="13.2" customHeight="1" thickBot="1">
      <c r="A2" s="189"/>
      <c r="B2" s="189"/>
      <c r="C2" s="189"/>
      <c r="D2" s="189"/>
      <c r="F2" s="197">
        <v>0.01</v>
      </c>
      <c r="G2" s="197"/>
    </row>
    <row r="3" spans="1:8" ht="13.2" customHeight="1">
      <c r="A3" s="41" t="s">
        <v>75</v>
      </c>
      <c r="B3" s="41" t="s">
        <v>76</v>
      </c>
      <c r="F3" s="47">
        <v>0</v>
      </c>
      <c r="G3" s="47">
        <v>26.908899999999999</v>
      </c>
      <c r="H3" s="41" t="s">
        <v>94</v>
      </c>
    </row>
    <row r="4" spans="1:8">
      <c r="F4" s="44">
        <v>0</v>
      </c>
      <c r="G4" s="44">
        <v>9</v>
      </c>
    </row>
    <row r="5" spans="1:8">
      <c r="F5" s="44">
        <f>F4*F2+F3</f>
        <v>0</v>
      </c>
      <c r="G5" s="44">
        <f>G4*F2+G3</f>
        <v>26.998899999999999</v>
      </c>
    </row>
    <row r="6" spans="1:8">
      <c r="A6" s="40">
        <f>F5</f>
        <v>0</v>
      </c>
      <c r="B6" s="40">
        <f>G5</f>
        <v>26.998899999999999</v>
      </c>
      <c r="F6" s="54"/>
      <c r="G6" s="54"/>
    </row>
    <row r="7" spans="1:8">
      <c r="A7" s="40">
        <f>F11</f>
        <v>10.15</v>
      </c>
      <c r="B7" s="40">
        <f>G11</f>
        <v>26.979999999999997</v>
      </c>
      <c r="F7" s="201" t="s">
        <v>77</v>
      </c>
      <c r="G7" s="202"/>
    </row>
    <row r="8" spans="1:8" ht="13.8" thickBot="1">
      <c r="F8" s="197">
        <v>0.01</v>
      </c>
      <c r="G8" s="197"/>
    </row>
    <row r="9" spans="1:8">
      <c r="F9" s="47">
        <v>4</v>
      </c>
      <c r="G9" s="47">
        <v>26.9</v>
      </c>
      <c r="H9" s="41" t="s">
        <v>94</v>
      </c>
    </row>
    <row r="10" spans="1:8">
      <c r="F10" s="44">
        <v>615</v>
      </c>
      <c r="G10" s="44">
        <v>8</v>
      </c>
    </row>
    <row r="11" spans="1:8" ht="13.2" customHeight="1">
      <c r="A11" s="189" t="s">
        <v>86</v>
      </c>
      <c r="B11" s="189"/>
      <c r="C11" s="189"/>
      <c r="D11" s="189"/>
      <c r="F11" s="44">
        <f>F10*F8+F9</f>
        <v>10.15</v>
      </c>
      <c r="G11" s="44">
        <f>G10*F8+G9</f>
        <v>26.979999999999997</v>
      </c>
    </row>
    <row r="12" spans="1:8" ht="13.2" customHeight="1">
      <c r="A12" s="189"/>
      <c r="B12" s="189"/>
      <c r="C12" s="189"/>
      <c r="D12" s="189"/>
      <c r="F12" s="52"/>
      <c r="G12" s="52"/>
      <c r="H12" s="50"/>
    </row>
    <row r="13" spans="1:8">
      <c r="F13" s="50"/>
      <c r="G13" s="50"/>
      <c r="H13" s="50"/>
    </row>
    <row r="14" spans="1:8" ht="16.2" thickBot="1">
      <c r="A14" s="199" t="s">
        <v>78</v>
      </c>
      <c r="B14" s="199"/>
      <c r="C14" s="198" t="s">
        <v>89</v>
      </c>
      <c r="D14" s="198"/>
      <c r="F14" s="51"/>
      <c r="G14" s="51"/>
      <c r="H14" s="50"/>
    </row>
    <row r="15" spans="1:8" ht="15.6">
      <c r="A15" s="42" t="s">
        <v>75</v>
      </c>
      <c r="B15" s="42" t="s">
        <v>76</v>
      </c>
      <c r="C15" s="41" t="s">
        <v>80</v>
      </c>
      <c r="D15" s="41" t="s">
        <v>79</v>
      </c>
      <c r="F15" s="200" t="s">
        <v>77</v>
      </c>
      <c r="G15" s="200"/>
    </row>
    <row r="16" spans="1:8" ht="13.8" thickBot="1">
      <c r="A16" s="43">
        <f>A7*1.15</f>
        <v>11.672499999999999</v>
      </c>
      <c r="B16" s="44">
        <f>B7</f>
        <v>26.979999999999997</v>
      </c>
      <c r="C16" s="40">
        <f>F20</f>
        <v>7</v>
      </c>
      <c r="D16" s="40">
        <f>G20</f>
        <v>26.986000000000001</v>
      </c>
      <c r="F16" s="197">
        <v>0.01</v>
      </c>
      <c r="G16" s="197"/>
    </row>
    <row r="17" spans="1:30" ht="15.6">
      <c r="F17" s="48" t="s">
        <v>80</v>
      </c>
      <c r="G17" s="48" t="s">
        <v>79</v>
      </c>
    </row>
    <row r="18" spans="1:30">
      <c r="F18" s="44">
        <v>7</v>
      </c>
      <c r="G18" s="44">
        <v>26.986000000000001</v>
      </c>
      <c r="H18" s="41" t="s">
        <v>94</v>
      </c>
    </row>
    <row r="19" spans="1:30">
      <c r="F19" s="44">
        <v>0</v>
      </c>
      <c r="G19" s="44">
        <v>0</v>
      </c>
    </row>
    <row r="20" spans="1:30">
      <c r="F20" s="44">
        <f>F19*F16+F18</f>
        <v>7</v>
      </c>
      <c r="G20" s="44">
        <f>G19*F16+G18</f>
        <v>26.986000000000001</v>
      </c>
      <c r="AB20" s="35" t="s">
        <v>75</v>
      </c>
      <c r="AC20" s="35" t="s">
        <v>83</v>
      </c>
      <c r="AD20" s="35" t="s">
        <v>84</v>
      </c>
    </row>
    <row r="21" spans="1:30">
      <c r="F21" s="52"/>
      <c r="G21" s="52"/>
      <c r="AB21" s="35">
        <v>0</v>
      </c>
      <c r="AC21" s="35">
        <f t="shared" ref="AC21:AC35" si="0">B$28</f>
        <v>26.984566666666666</v>
      </c>
      <c r="AD21" s="35">
        <f t="shared" ref="AD21:AD35" si="1">D$28</f>
        <v>26.991733333333332</v>
      </c>
    </row>
    <row r="22" spans="1:30">
      <c r="F22" s="50"/>
      <c r="G22" s="50"/>
      <c r="AB22" s="35">
        <v>1</v>
      </c>
      <c r="AC22" s="35">
        <f t="shared" si="0"/>
        <v>26.984566666666666</v>
      </c>
      <c r="AD22" s="35">
        <f t="shared" si="1"/>
        <v>26.991733333333332</v>
      </c>
    </row>
    <row r="23" spans="1:30" ht="13.2" customHeight="1">
      <c r="A23" s="189" t="s">
        <v>87</v>
      </c>
      <c r="B23" s="189"/>
      <c r="C23" s="189"/>
      <c r="D23" s="189"/>
      <c r="F23" s="53"/>
      <c r="G23" s="53"/>
      <c r="AB23" s="35">
        <v>2</v>
      </c>
      <c r="AC23" s="35">
        <f t="shared" si="0"/>
        <v>26.984566666666666</v>
      </c>
      <c r="AD23" s="35">
        <f t="shared" si="1"/>
        <v>26.991733333333332</v>
      </c>
    </row>
    <row r="24" spans="1:30" ht="13.2" customHeight="1">
      <c r="A24" s="189"/>
      <c r="B24" s="189"/>
      <c r="C24" s="189"/>
      <c r="D24" s="189"/>
      <c r="F24" s="201" t="s">
        <v>77</v>
      </c>
      <c r="G24" s="201"/>
      <c r="AB24" s="35">
        <v>3</v>
      </c>
      <c r="AC24" s="35">
        <f t="shared" si="0"/>
        <v>26.984566666666666</v>
      </c>
      <c r="AD24" s="35">
        <f t="shared" si="1"/>
        <v>26.991733333333332</v>
      </c>
    </row>
    <row r="25" spans="1:30" ht="13.8" thickBot="1">
      <c r="F25" s="197">
        <v>0.01</v>
      </c>
      <c r="G25" s="197"/>
      <c r="AB25" s="35">
        <v>4</v>
      </c>
      <c r="AC25" s="35">
        <f t="shared" si="0"/>
        <v>26.984566666666666</v>
      </c>
      <c r="AD25" s="35">
        <f t="shared" si="1"/>
        <v>26.991733333333332</v>
      </c>
    </row>
    <row r="26" spans="1:30" ht="15.6">
      <c r="A26" s="198" t="s">
        <v>90</v>
      </c>
      <c r="B26" s="198"/>
      <c r="C26" s="198" t="s">
        <v>91</v>
      </c>
      <c r="D26" s="198"/>
      <c r="F26" s="48" t="s">
        <v>93</v>
      </c>
      <c r="G26" s="48" t="s">
        <v>92</v>
      </c>
      <c r="AB26" s="35">
        <v>5</v>
      </c>
      <c r="AC26" s="35">
        <f t="shared" si="0"/>
        <v>26.984566666666666</v>
      </c>
      <c r="AD26" s="35">
        <f t="shared" si="1"/>
        <v>26.991733333333332</v>
      </c>
    </row>
    <row r="27" spans="1:30" ht="15.6">
      <c r="A27" s="41" t="s">
        <v>93</v>
      </c>
      <c r="B27" s="41" t="s">
        <v>81</v>
      </c>
      <c r="C27" s="41" t="s">
        <v>92</v>
      </c>
      <c r="D27" s="41" t="s">
        <v>82</v>
      </c>
      <c r="F27" s="44">
        <v>6.5</v>
      </c>
      <c r="G27" s="44">
        <v>3.2</v>
      </c>
      <c r="H27" s="41" t="s">
        <v>94</v>
      </c>
      <c r="AB27" s="35">
        <v>6</v>
      </c>
      <c r="AC27" s="35">
        <f t="shared" si="0"/>
        <v>26.984566666666666</v>
      </c>
      <c r="AD27" s="35">
        <f t="shared" si="1"/>
        <v>26.991733333333332</v>
      </c>
    </row>
    <row r="28" spans="1:30">
      <c r="A28" s="40">
        <f>F29</f>
        <v>9.67</v>
      </c>
      <c r="B28" s="40">
        <f>D16+(1/9)*(D16-B6)</f>
        <v>26.984566666666666</v>
      </c>
      <c r="C28" s="40">
        <f>G29</f>
        <v>3.23</v>
      </c>
      <c r="D28" s="40">
        <f>B28-(5/9)*(D16-B6)</f>
        <v>26.991733333333332</v>
      </c>
      <c r="F28" s="44">
        <v>317</v>
      </c>
      <c r="G28" s="44">
        <v>3</v>
      </c>
      <c r="J28" s="194" t="s">
        <v>88</v>
      </c>
      <c r="K28" s="194"/>
      <c r="L28" s="194"/>
      <c r="M28" s="194"/>
      <c r="N28" s="194"/>
      <c r="O28" s="194"/>
      <c r="P28" s="194"/>
      <c r="AB28" s="35">
        <v>7</v>
      </c>
      <c r="AC28" s="35">
        <f t="shared" si="0"/>
        <v>26.984566666666666</v>
      </c>
      <c r="AD28" s="35">
        <f t="shared" si="1"/>
        <v>26.991733333333332</v>
      </c>
    </row>
    <row r="29" spans="1:30">
      <c r="F29" s="44">
        <f>F28*F25+F27</f>
        <v>9.67</v>
      </c>
      <c r="G29" s="44">
        <f>G28*F25+G27</f>
        <v>3.23</v>
      </c>
      <c r="J29" s="194"/>
      <c r="K29" s="194"/>
      <c r="L29" s="194"/>
      <c r="M29" s="194"/>
      <c r="N29" s="194"/>
      <c r="O29" s="194"/>
      <c r="P29" s="194"/>
      <c r="AB29" s="35">
        <v>8</v>
      </c>
      <c r="AC29" s="35">
        <f t="shared" si="0"/>
        <v>26.984566666666666</v>
      </c>
      <c r="AD29" s="35">
        <f t="shared" si="1"/>
        <v>26.991733333333332</v>
      </c>
    </row>
    <row r="30" spans="1:30">
      <c r="J30" s="194"/>
      <c r="K30" s="194"/>
      <c r="L30" s="194"/>
      <c r="M30" s="194"/>
      <c r="N30" s="194"/>
      <c r="O30" s="194"/>
      <c r="P30" s="194"/>
      <c r="AB30" s="35">
        <v>9</v>
      </c>
      <c r="AC30" s="35">
        <f t="shared" si="0"/>
        <v>26.984566666666666</v>
      </c>
      <c r="AD30" s="35">
        <f t="shared" si="1"/>
        <v>26.991733333333332</v>
      </c>
    </row>
    <row r="31" spans="1:30">
      <c r="B31" s="35">
        <v>22</v>
      </c>
      <c r="D31" s="35">
        <v>3</v>
      </c>
      <c r="J31" s="194"/>
      <c r="K31" s="194"/>
      <c r="L31" s="194"/>
      <c r="M31" s="194"/>
      <c r="N31" s="194"/>
      <c r="O31" s="194"/>
      <c r="P31" s="194"/>
      <c r="AB31" s="35">
        <v>10</v>
      </c>
      <c r="AC31" s="35">
        <f t="shared" si="0"/>
        <v>26.984566666666666</v>
      </c>
      <c r="AD31" s="35">
        <f t="shared" si="1"/>
        <v>26.991733333333332</v>
      </c>
    </row>
    <row r="32" spans="1:30">
      <c r="J32" s="194"/>
      <c r="K32" s="194"/>
      <c r="L32" s="194"/>
      <c r="M32" s="194"/>
      <c r="N32" s="194"/>
      <c r="O32" s="194"/>
      <c r="P32" s="194"/>
      <c r="AB32" s="35">
        <v>11</v>
      </c>
      <c r="AC32" s="35">
        <f t="shared" si="0"/>
        <v>26.984566666666666</v>
      </c>
      <c r="AD32" s="35">
        <f t="shared" si="1"/>
        <v>26.991733333333332</v>
      </c>
    </row>
    <row r="33" spans="28:30">
      <c r="AB33" s="35">
        <v>12</v>
      </c>
      <c r="AC33" s="35">
        <f t="shared" si="0"/>
        <v>26.984566666666666</v>
      </c>
      <c r="AD33" s="35">
        <f t="shared" si="1"/>
        <v>26.991733333333332</v>
      </c>
    </row>
    <row r="34" spans="28:30">
      <c r="AB34" s="35">
        <v>13</v>
      </c>
      <c r="AC34" s="35">
        <f t="shared" si="0"/>
        <v>26.984566666666666</v>
      </c>
      <c r="AD34" s="35">
        <f t="shared" si="1"/>
        <v>26.991733333333332</v>
      </c>
    </row>
    <row r="35" spans="28:30">
      <c r="AB35" s="35">
        <v>14</v>
      </c>
      <c r="AC35" s="35">
        <f t="shared" si="0"/>
        <v>26.984566666666666</v>
      </c>
      <c r="AD35" s="35">
        <f t="shared" si="1"/>
        <v>26.991733333333332</v>
      </c>
    </row>
  </sheetData>
  <mergeCells count="16">
    <mergeCell ref="A11:D12"/>
    <mergeCell ref="A1:D2"/>
    <mergeCell ref="F1:G1"/>
    <mergeCell ref="F2:G2"/>
    <mergeCell ref="F7:G7"/>
    <mergeCell ref="F8:G8"/>
    <mergeCell ref="F25:G25"/>
    <mergeCell ref="A26:B26"/>
    <mergeCell ref="C26:D26"/>
    <mergeCell ref="J28:P32"/>
    <mergeCell ref="A14:B14"/>
    <mergeCell ref="C14:D14"/>
    <mergeCell ref="F15:G15"/>
    <mergeCell ref="F16:G16"/>
    <mergeCell ref="A23:D24"/>
    <mergeCell ref="F24:G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2289" r:id="rId3" name="Scroll Bar 1">
              <controlPr defaultSize="0" autoPict="0">
                <anchor moveWithCells="1">
                  <from>
                    <xdr:col>1</xdr:col>
                    <xdr:colOff>22860</xdr:colOff>
                    <xdr:row>7</xdr:row>
                    <xdr:rowOff>76200</xdr:rowOff>
                  </from>
                  <to>
                    <xdr:col>1</xdr:col>
                    <xdr:colOff>586740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90" r:id="rId4" name="Scroll Bar 2">
              <controlPr defaultSize="0" autoPict="0">
                <anchor moveWithCells="1">
                  <from>
                    <xdr:col>0</xdr:col>
                    <xdr:colOff>45720</xdr:colOff>
                    <xdr:row>7</xdr:row>
                    <xdr:rowOff>76200</xdr:rowOff>
                  </from>
                  <to>
                    <xdr:col>0</xdr:col>
                    <xdr:colOff>563880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91" r:id="rId5" name="Scroll Bar 3">
              <controlPr defaultSize="0" autoPict="0">
                <anchor moveWithCells="1">
                  <from>
                    <xdr:col>3</xdr:col>
                    <xdr:colOff>53340</xdr:colOff>
                    <xdr:row>16</xdr:row>
                    <xdr:rowOff>45720</xdr:rowOff>
                  </from>
                  <to>
                    <xdr:col>3</xdr:col>
                    <xdr:colOff>563880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92" r:id="rId6" name="Scroll Bar 4">
              <controlPr defaultSize="0" autoPict="0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2</xdr:col>
                    <xdr:colOff>586740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93" r:id="rId7" name="Scroll Bar 5">
              <controlPr defaultSize="0" autoPict="0">
                <anchor moveWithCells="1">
                  <from>
                    <xdr:col>2</xdr:col>
                    <xdr:colOff>38100</xdr:colOff>
                    <xdr:row>28</xdr:row>
                    <xdr:rowOff>22860</xdr:rowOff>
                  </from>
                  <to>
                    <xdr:col>2</xdr:col>
                    <xdr:colOff>586740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94" r:id="rId8" name="Scroll Bar 6">
              <controlPr defaultSize="0" autoPict="0">
                <anchor moveWithCells="1">
                  <from>
                    <xdr:col>0</xdr:col>
                    <xdr:colOff>30480</xdr:colOff>
                    <xdr:row>28</xdr:row>
                    <xdr:rowOff>30480</xdr:rowOff>
                  </from>
                  <to>
                    <xdr:col>1</xdr:col>
                    <xdr:colOff>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95" r:id="rId9" name="Scroll Bar 7">
              <controlPr defaultSize="0" autoPict="0">
                <anchor moveWithCells="1">
                  <from>
                    <xdr:col>1</xdr:col>
                    <xdr:colOff>45720</xdr:colOff>
                    <xdr:row>3</xdr:row>
                    <xdr:rowOff>45720</xdr:rowOff>
                  </from>
                  <to>
                    <xdr:col>1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96" r:id="rId10" name="Scroll Bar 8">
              <controlPr defaultSize="0" autoPict="0">
                <anchor moveWithCells="1">
                  <from>
                    <xdr:col>0</xdr:col>
                    <xdr:colOff>38100</xdr:colOff>
                    <xdr:row>3</xdr:row>
                    <xdr:rowOff>45720</xdr:rowOff>
                  </from>
                  <to>
                    <xdr:col>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D35"/>
  <sheetViews>
    <sheetView topLeftCell="A5" workbookViewId="0">
      <selection activeCell="J28" sqref="J28:P32"/>
    </sheetView>
  </sheetViews>
  <sheetFormatPr defaultRowHeight="13.2"/>
  <cols>
    <col min="1" max="27" width="8.88671875" style="40"/>
    <col min="28" max="30" width="8.88671875" style="40" customWidth="1"/>
    <col min="31" max="16384" width="8.88671875" style="40"/>
  </cols>
  <sheetData>
    <row r="1" spans="1:8" ht="17.399999999999999" customHeight="1">
      <c r="A1" s="189" t="s">
        <v>85</v>
      </c>
      <c r="B1" s="189"/>
      <c r="C1" s="189"/>
      <c r="D1" s="189"/>
      <c r="F1" s="201" t="s">
        <v>77</v>
      </c>
      <c r="G1" s="202"/>
    </row>
    <row r="2" spans="1:8" ht="13.2" customHeight="1" thickBot="1">
      <c r="A2" s="189"/>
      <c r="B2" s="189"/>
      <c r="C2" s="189"/>
      <c r="D2" s="189"/>
      <c r="F2" s="197">
        <v>0.01</v>
      </c>
      <c r="G2" s="197"/>
    </row>
    <row r="3" spans="1:8" ht="13.2" customHeight="1">
      <c r="A3" s="41" t="s">
        <v>75</v>
      </c>
      <c r="B3" s="41" t="s">
        <v>76</v>
      </c>
      <c r="F3" s="47">
        <v>0</v>
      </c>
      <c r="G3" s="47">
        <v>26.908899999999999</v>
      </c>
      <c r="H3" s="41" t="s">
        <v>94</v>
      </c>
    </row>
    <row r="4" spans="1:8">
      <c r="F4" s="44">
        <v>0</v>
      </c>
      <c r="G4" s="44">
        <v>9</v>
      </c>
    </row>
    <row r="5" spans="1:8">
      <c r="F5" s="44">
        <f>F4*F2+F3</f>
        <v>0</v>
      </c>
      <c r="G5" s="44">
        <f>G4*F2+G3</f>
        <v>26.998899999999999</v>
      </c>
    </row>
    <row r="6" spans="1:8">
      <c r="A6" s="40">
        <f>F5</f>
        <v>0</v>
      </c>
      <c r="B6" s="40">
        <f>G5</f>
        <v>26.998899999999999</v>
      </c>
      <c r="F6" s="54"/>
      <c r="G6" s="54"/>
    </row>
    <row r="7" spans="1:8">
      <c r="A7" s="40">
        <f>F11</f>
        <v>10.15</v>
      </c>
      <c r="B7" s="40">
        <f>G11</f>
        <v>26.979999999999997</v>
      </c>
      <c r="F7" s="201" t="s">
        <v>77</v>
      </c>
      <c r="G7" s="202"/>
    </row>
    <row r="8" spans="1:8" ht="13.8" thickBot="1">
      <c r="F8" s="197">
        <v>0.01</v>
      </c>
      <c r="G8" s="197"/>
    </row>
    <row r="9" spans="1:8">
      <c r="F9" s="47">
        <v>4</v>
      </c>
      <c r="G9" s="47">
        <v>26.9</v>
      </c>
      <c r="H9" s="41" t="s">
        <v>94</v>
      </c>
    </row>
    <row r="10" spans="1:8">
      <c r="F10" s="44">
        <v>615</v>
      </c>
      <c r="G10" s="44">
        <v>8</v>
      </c>
    </row>
    <row r="11" spans="1:8" ht="13.2" customHeight="1">
      <c r="A11" s="189" t="s">
        <v>86</v>
      </c>
      <c r="B11" s="189"/>
      <c r="C11" s="189"/>
      <c r="D11" s="189"/>
      <c r="F11" s="44">
        <f>F10*F8+F9</f>
        <v>10.15</v>
      </c>
      <c r="G11" s="44">
        <f>G10*F8+G9</f>
        <v>26.979999999999997</v>
      </c>
    </row>
    <row r="12" spans="1:8" ht="13.2" customHeight="1">
      <c r="A12" s="189"/>
      <c r="B12" s="189"/>
      <c r="C12" s="189"/>
      <c r="D12" s="189"/>
      <c r="F12" s="52"/>
      <c r="G12" s="52"/>
      <c r="H12" s="50"/>
    </row>
    <row r="13" spans="1:8">
      <c r="F13" s="50"/>
      <c r="G13" s="50"/>
      <c r="H13" s="50"/>
    </row>
    <row r="14" spans="1:8" ht="16.2" thickBot="1">
      <c r="A14" s="199" t="s">
        <v>78</v>
      </c>
      <c r="B14" s="199"/>
      <c r="C14" s="198" t="s">
        <v>89</v>
      </c>
      <c r="D14" s="198"/>
      <c r="F14" s="51"/>
      <c r="G14" s="51"/>
      <c r="H14" s="50"/>
    </row>
    <row r="15" spans="1:8" ht="15.6">
      <c r="A15" s="42" t="s">
        <v>75</v>
      </c>
      <c r="B15" s="42" t="s">
        <v>76</v>
      </c>
      <c r="C15" s="41" t="s">
        <v>80</v>
      </c>
      <c r="D15" s="41" t="s">
        <v>79</v>
      </c>
      <c r="F15" s="200" t="s">
        <v>77</v>
      </c>
      <c r="G15" s="200"/>
    </row>
    <row r="16" spans="1:8" ht="13.8" thickBot="1">
      <c r="A16" s="43">
        <f>A7*1.15</f>
        <v>11.672499999999999</v>
      </c>
      <c r="B16" s="44">
        <f>B7</f>
        <v>26.979999999999997</v>
      </c>
      <c r="C16" s="40">
        <f>F20</f>
        <v>7</v>
      </c>
      <c r="D16" s="40">
        <f>G20</f>
        <v>26.986000000000001</v>
      </c>
      <c r="F16" s="197">
        <v>0.01</v>
      </c>
      <c r="G16" s="197"/>
    </row>
    <row r="17" spans="1:30" ht="15.6">
      <c r="F17" s="48" t="s">
        <v>80</v>
      </c>
      <c r="G17" s="48" t="s">
        <v>79</v>
      </c>
    </row>
    <row r="18" spans="1:30">
      <c r="F18" s="44">
        <v>7</v>
      </c>
      <c r="G18" s="44">
        <v>26.986000000000001</v>
      </c>
      <c r="H18" s="41" t="s">
        <v>94</v>
      </c>
    </row>
    <row r="19" spans="1:30">
      <c r="F19" s="44">
        <v>0</v>
      </c>
      <c r="G19" s="44">
        <v>0</v>
      </c>
    </row>
    <row r="20" spans="1:30">
      <c r="F20" s="44">
        <f>F19*F16+F18</f>
        <v>7</v>
      </c>
      <c r="G20" s="44">
        <f>G19*F16+G18</f>
        <v>26.986000000000001</v>
      </c>
      <c r="AB20" s="35" t="s">
        <v>75</v>
      </c>
      <c r="AC20" s="35" t="s">
        <v>83</v>
      </c>
      <c r="AD20" s="35" t="s">
        <v>84</v>
      </c>
    </row>
    <row r="21" spans="1:30">
      <c r="F21" s="52"/>
      <c r="G21" s="52"/>
      <c r="AB21" s="35">
        <v>0</v>
      </c>
      <c r="AC21" s="35">
        <f t="shared" ref="AC21:AC35" si="0">B$28</f>
        <v>26.984566666666666</v>
      </c>
      <c r="AD21" s="35">
        <f t="shared" ref="AD21:AD35" si="1">D$28</f>
        <v>26.991733333333332</v>
      </c>
    </row>
    <row r="22" spans="1:30">
      <c r="F22" s="50"/>
      <c r="G22" s="50"/>
      <c r="AB22" s="35">
        <v>1</v>
      </c>
      <c r="AC22" s="35">
        <f t="shared" si="0"/>
        <v>26.984566666666666</v>
      </c>
      <c r="AD22" s="35">
        <f t="shared" si="1"/>
        <v>26.991733333333332</v>
      </c>
    </row>
    <row r="23" spans="1:30" ht="13.2" customHeight="1">
      <c r="A23" s="189" t="s">
        <v>87</v>
      </c>
      <c r="B23" s="189"/>
      <c r="C23" s="189"/>
      <c r="D23" s="189"/>
      <c r="F23" s="53"/>
      <c r="G23" s="53"/>
      <c r="AB23" s="35">
        <v>2</v>
      </c>
      <c r="AC23" s="35">
        <f t="shared" si="0"/>
        <v>26.984566666666666</v>
      </c>
      <c r="AD23" s="35">
        <f t="shared" si="1"/>
        <v>26.991733333333332</v>
      </c>
    </row>
    <row r="24" spans="1:30" ht="13.2" customHeight="1">
      <c r="A24" s="189"/>
      <c r="B24" s="189"/>
      <c r="C24" s="189"/>
      <c r="D24" s="189"/>
      <c r="F24" s="201" t="s">
        <v>77</v>
      </c>
      <c r="G24" s="201"/>
      <c r="AB24" s="35">
        <v>3</v>
      </c>
      <c r="AC24" s="35">
        <f t="shared" si="0"/>
        <v>26.984566666666666</v>
      </c>
      <c r="AD24" s="35">
        <f t="shared" si="1"/>
        <v>26.991733333333332</v>
      </c>
    </row>
    <row r="25" spans="1:30" ht="13.8" thickBot="1">
      <c r="F25" s="197">
        <v>0.01</v>
      </c>
      <c r="G25" s="197"/>
      <c r="AB25" s="35">
        <v>4</v>
      </c>
      <c r="AC25" s="35">
        <f t="shared" si="0"/>
        <v>26.984566666666666</v>
      </c>
      <c r="AD25" s="35">
        <f t="shared" si="1"/>
        <v>26.991733333333332</v>
      </c>
    </row>
    <row r="26" spans="1:30" ht="15.6">
      <c r="A26" s="198" t="s">
        <v>90</v>
      </c>
      <c r="B26" s="198"/>
      <c r="C26" s="198" t="s">
        <v>91</v>
      </c>
      <c r="D26" s="198"/>
      <c r="F26" s="48" t="s">
        <v>93</v>
      </c>
      <c r="G26" s="48" t="s">
        <v>92</v>
      </c>
      <c r="AB26" s="35">
        <v>5</v>
      </c>
      <c r="AC26" s="35">
        <f t="shared" si="0"/>
        <v>26.984566666666666</v>
      </c>
      <c r="AD26" s="35">
        <f t="shared" si="1"/>
        <v>26.991733333333332</v>
      </c>
    </row>
    <row r="27" spans="1:30" ht="15.6">
      <c r="A27" s="41" t="s">
        <v>93</v>
      </c>
      <c r="B27" s="41" t="s">
        <v>81</v>
      </c>
      <c r="C27" s="41" t="s">
        <v>92</v>
      </c>
      <c r="D27" s="41" t="s">
        <v>82</v>
      </c>
      <c r="F27" s="44">
        <v>6.5</v>
      </c>
      <c r="G27" s="44">
        <v>3.2</v>
      </c>
      <c r="H27" s="41" t="s">
        <v>94</v>
      </c>
      <c r="AB27" s="35">
        <v>6</v>
      </c>
      <c r="AC27" s="35">
        <f t="shared" si="0"/>
        <v>26.984566666666666</v>
      </c>
      <c r="AD27" s="35">
        <f t="shared" si="1"/>
        <v>26.991733333333332</v>
      </c>
    </row>
    <row r="28" spans="1:30">
      <c r="A28" s="40">
        <f>F29</f>
        <v>9.67</v>
      </c>
      <c r="B28" s="40">
        <f>D16+(1/9)*(D16-B6)</f>
        <v>26.984566666666666</v>
      </c>
      <c r="C28" s="40">
        <f>G29</f>
        <v>3.23</v>
      </c>
      <c r="D28" s="40">
        <f>B28-(5/9)*(D16-B6)</f>
        <v>26.991733333333332</v>
      </c>
      <c r="F28" s="44">
        <v>317</v>
      </c>
      <c r="G28" s="44">
        <v>3</v>
      </c>
      <c r="J28" s="194" t="s">
        <v>88</v>
      </c>
      <c r="K28" s="194"/>
      <c r="L28" s="194"/>
      <c r="M28" s="194"/>
      <c r="N28" s="194"/>
      <c r="O28" s="194"/>
      <c r="P28" s="194"/>
      <c r="AB28" s="35">
        <v>7</v>
      </c>
      <c r="AC28" s="35">
        <f t="shared" si="0"/>
        <v>26.984566666666666</v>
      </c>
      <c r="AD28" s="35">
        <f t="shared" si="1"/>
        <v>26.991733333333332</v>
      </c>
    </row>
    <row r="29" spans="1:30">
      <c r="F29" s="44">
        <f>F28*F25+F27</f>
        <v>9.67</v>
      </c>
      <c r="G29" s="44">
        <f>G28*F25+G27</f>
        <v>3.23</v>
      </c>
      <c r="J29" s="194"/>
      <c r="K29" s="194"/>
      <c r="L29" s="194"/>
      <c r="M29" s="194"/>
      <c r="N29" s="194"/>
      <c r="O29" s="194"/>
      <c r="P29" s="194"/>
      <c r="AB29" s="35">
        <v>8</v>
      </c>
      <c r="AC29" s="35">
        <f t="shared" si="0"/>
        <v>26.984566666666666</v>
      </c>
      <c r="AD29" s="35">
        <f t="shared" si="1"/>
        <v>26.991733333333332</v>
      </c>
    </row>
    <row r="30" spans="1:30">
      <c r="J30" s="194"/>
      <c r="K30" s="194"/>
      <c r="L30" s="194"/>
      <c r="M30" s="194"/>
      <c r="N30" s="194"/>
      <c r="O30" s="194"/>
      <c r="P30" s="194"/>
      <c r="AB30" s="35">
        <v>9</v>
      </c>
      <c r="AC30" s="35">
        <f t="shared" si="0"/>
        <v>26.984566666666666</v>
      </c>
      <c r="AD30" s="35">
        <f t="shared" si="1"/>
        <v>26.991733333333332</v>
      </c>
    </row>
    <row r="31" spans="1:30">
      <c r="B31" s="35">
        <v>22</v>
      </c>
      <c r="D31" s="35">
        <v>3</v>
      </c>
      <c r="J31" s="194"/>
      <c r="K31" s="194"/>
      <c r="L31" s="194"/>
      <c r="M31" s="194"/>
      <c r="N31" s="194"/>
      <c r="O31" s="194"/>
      <c r="P31" s="194"/>
      <c r="AB31" s="35">
        <v>10</v>
      </c>
      <c r="AC31" s="35">
        <f t="shared" si="0"/>
        <v>26.984566666666666</v>
      </c>
      <c r="AD31" s="35">
        <f t="shared" si="1"/>
        <v>26.991733333333332</v>
      </c>
    </row>
    <row r="32" spans="1:30">
      <c r="J32" s="194"/>
      <c r="K32" s="194"/>
      <c r="L32" s="194"/>
      <c r="M32" s="194"/>
      <c r="N32" s="194"/>
      <c r="O32" s="194"/>
      <c r="P32" s="194"/>
      <c r="AB32" s="35">
        <v>11</v>
      </c>
      <c r="AC32" s="35">
        <f t="shared" si="0"/>
        <v>26.984566666666666</v>
      </c>
      <c r="AD32" s="35">
        <f t="shared" si="1"/>
        <v>26.991733333333332</v>
      </c>
    </row>
    <row r="33" spans="28:30">
      <c r="AB33" s="35">
        <v>12</v>
      </c>
      <c r="AC33" s="35">
        <f t="shared" si="0"/>
        <v>26.984566666666666</v>
      </c>
      <c r="AD33" s="35">
        <f t="shared" si="1"/>
        <v>26.991733333333332</v>
      </c>
    </row>
    <row r="34" spans="28:30">
      <c r="AB34" s="35">
        <v>13</v>
      </c>
      <c r="AC34" s="35">
        <f t="shared" si="0"/>
        <v>26.984566666666666</v>
      </c>
      <c r="AD34" s="35">
        <f t="shared" si="1"/>
        <v>26.991733333333332</v>
      </c>
    </row>
    <row r="35" spans="28:30">
      <c r="AB35" s="35">
        <v>14</v>
      </c>
      <c r="AC35" s="35">
        <f t="shared" si="0"/>
        <v>26.984566666666666</v>
      </c>
      <c r="AD35" s="35">
        <f t="shared" si="1"/>
        <v>26.991733333333332</v>
      </c>
    </row>
  </sheetData>
  <mergeCells count="16">
    <mergeCell ref="A11:D12"/>
    <mergeCell ref="A1:D2"/>
    <mergeCell ref="F1:G1"/>
    <mergeCell ref="F2:G2"/>
    <mergeCell ref="F7:G7"/>
    <mergeCell ref="F8:G8"/>
    <mergeCell ref="F25:G25"/>
    <mergeCell ref="A26:B26"/>
    <mergeCell ref="C26:D26"/>
    <mergeCell ref="J28:P32"/>
    <mergeCell ref="A14:B14"/>
    <mergeCell ref="C14:D14"/>
    <mergeCell ref="F15:G15"/>
    <mergeCell ref="F16:G16"/>
    <mergeCell ref="A23:D24"/>
    <mergeCell ref="F24:G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7169" r:id="rId3" name="Scroll Bar 1">
              <controlPr defaultSize="0" autoPict="0">
                <anchor moveWithCells="1">
                  <from>
                    <xdr:col>1</xdr:col>
                    <xdr:colOff>22860</xdr:colOff>
                    <xdr:row>7</xdr:row>
                    <xdr:rowOff>76200</xdr:rowOff>
                  </from>
                  <to>
                    <xdr:col>1</xdr:col>
                    <xdr:colOff>586740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0" r:id="rId4" name="Scroll Bar 2">
              <controlPr defaultSize="0" autoPict="0">
                <anchor moveWithCells="1">
                  <from>
                    <xdr:col>0</xdr:col>
                    <xdr:colOff>45720</xdr:colOff>
                    <xdr:row>7</xdr:row>
                    <xdr:rowOff>76200</xdr:rowOff>
                  </from>
                  <to>
                    <xdr:col>0</xdr:col>
                    <xdr:colOff>563880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1" r:id="rId5" name="Scroll Bar 3">
              <controlPr defaultSize="0" autoPict="0">
                <anchor moveWithCells="1">
                  <from>
                    <xdr:col>3</xdr:col>
                    <xdr:colOff>53340</xdr:colOff>
                    <xdr:row>16</xdr:row>
                    <xdr:rowOff>45720</xdr:rowOff>
                  </from>
                  <to>
                    <xdr:col>3</xdr:col>
                    <xdr:colOff>563880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2" r:id="rId6" name="Scroll Bar 4">
              <controlPr defaultSize="0" autoPict="0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2</xdr:col>
                    <xdr:colOff>586740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3" r:id="rId7" name="Scroll Bar 5">
              <controlPr defaultSize="0" autoPict="0">
                <anchor moveWithCells="1">
                  <from>
                    <xdr:col>2</xdr:col>
                    <xdr:colOff>38100</xdr:colOff>
                    <xdr:row>28</xdr:row>
                    <xdr:rowOff>22860</xdr:rowOff>
                  </from>
                  <to>
                    <xdr:col>2</xdr:col>
                    <xdr:colOff>586740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4" r:id="rId8" name="Scroll Bar 6">
              <controlPr defaultSize="0" autoPict="0">
                <anchor moveWithCells="1">
                  <from>
                    <xdr:col>0</xdr:col>
                    <xdr:colOff>30480</xdr:colOff>
                    <xdr:row>28</xdr:row>
                    <xdr:rowOff>30480</xdr:rowOff>
                  </from>
                  <to>
                    <xdr:col>1</xdr:col>
                    <xdr:colOff>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5" r:id="rId9" name="Scroll Bar 7">
              <controlPr defaultSize="0" autoPict="0">
                <anchor moveWithCells="1">
                  <from>
                    <xdr:col>1</xdr:col>
                    <xdr:colOff>45720</xdr:colOff>
                    <xdr:row>3</xdr:row>
                    <xdr:rowOff>45720</xdr:rowOff>
                  </from>
                  <to>
                    <xdr:col>1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6" r:id="rId10" name="Scroll Bar 8">
              <controlPr defaultSize="0" autoPict="0">
                <anchor moveWithCells="1">
                  <from>
                    <xdr:col>0</xdr:col>
                    <xdr:colOff>38100</xdr:colOff>
                    <xdr:row>3</xdr:row>
                    <xdr:rowOff>45720</xdr:rowOff>
                  </from>
                  <to>
                    <xdr:col>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D35"/>
  <sheetViews>
    <sheetView workbookViewId="0">
      <selection activeCell="V21" sqref="V21"/>
    </sheetView>
  </sheetViews>
  <sheetFormatPr defaultRowHeight="13.2"/>
  <cols>
    <col min="1" max="27" width="8.88671875" style="40"/>
    <col min="28" max="30" width="8.88671875" style="40" customWidth="1"/>
    <col min="31" max="16384" width="8.88671875" style="40"/>
  </cols>
  <sheetData>
    <row r="1" spans="1:8" ht="17.399999999999999" customHeight="1">
      <c r="A1" s="189" t="s">
        <v>85</v>
      </c>
      <c r="B1" s="189"/>
      <c r="C1" s="189"/>
      <c r="D1" s="189"/>
      <c r="F1" s="201" t="s">
        <v>77</v>
      </c>
      <c r="G1" s="202"/>
    </row>
    <row r="2" spans="1:8" ht="13.2" customHeight="1" thickBot="1">
      <c r="A2" s="189"/>
      <c r="B2" s="189"/>
      <c r="C2" s="189"/>
      <c r="D2" s="189"/>
      <c r="F2" s="197">
        <v>0.01</v>
      </c>
      <c r="G2" s="197"/>
    </row>
    <row r="3" spans="1:8" ht="13.2" customHeight="1">
      <c r="A3" s="41" t="s">
        <v>75</v>
      </c>
      <c r="B3" s="41" t="s">
        <v>76</v>
      </c>
      <c r="F3" s="47">
        <v>0</v>
      </c>
      <c r="G3" s="47">
        <v>26.908899999999999</v>
      </c>
      <c r="H3" s="41" t="s">
        <v>94</v>
      </c>
    </row>
    <row r="4" spans="1:8">
      <c r="F4" s="44">
        <v>0</v>
      </c>
      <c r="G4" s="44">
        <v>9</v>
      </c>
    </row>
    <row r="5" spans="1:8">
      <c r="F5" s="44">
        <f>F4*F2+F3</f>
        <v>0</v>
      </c>
      <c r="G5" s="44">
        <f>G4*F2+G3</f>
        <v>26.998899999999999</v>
      </c>
    </row>
    <row r="6" spans="1:8">
      <c r="A6" s="40">
        <f>F5</f>
        <v>0</v>
      </c>
      <c r="B6" s="40">
        <f>G5</f>
        <v>26.998899999999999</v>
      </c>
      <c r="F6" s="54"/>
      <c r="G6" s="54"/>
    </row>
    <row r="7" spans="1:8">
      <c r="A7" s="40">
        <f>F11</f>
        <v>10.15</v>
      </c>
      <c r="B7" s="40">
        <f>G11</f>
        <v>26.979999999999997</v>
      </c>
      <c r="F7" s="201" t="s">
        <v>77</v>
      </c>
      <c r="G7" s="202"/>
    </row>
    <row r="8" spans="1:8" ht="13.8" thickBot="1">
      <c r="F8" s="197">
        <v>0.01</v>
      </c>
      <c r="G8" s="197"/>
    </row>
    <row r="9" spans="1:8">
      <c r="F9" s="47">
        <v>4</v>
      </c>
      <c r="G9" s="47">
        <v>26.9</v>
      </c>
      <c r="H9" s="41" t="s">
        <v>94</v>
      </c>
    </row>
    <row r="10" spans="1:8">
      <c r="F10" s="44">
        <v>615</v>
      </c>
      <c r="G10" s="44">
        <v>8</v>
      </c>
    </row>
    <row r="11" spans="1:8" ht="13.2" customHeight="1">
      <c r="A11" s="189" t="s">
        <v>86</v>
      </c>
      <c r="B11" s="189"/>
      <c r="C11" s="189"/>
      <c r="D11" s="189"/>
      <c r="F11" s="44">
        <f>F10*F8+F9</f>
        <v>10.15</v>
      </c>
      <c r="G11" s="44">
        <f>G10*F8+G9</f>
        <v>26.979999999999997</v>
      </c>
    </row>
    <row r="12" spans="1:8" ht="13.2" customHeight="1">
      <c r="A12" s="189"/>
      <c r="B12" s="189"/>
      <c r="C12" s="189"/>
      <c r="D12" s="189"/>
      <c r="F12" s="52"/>
      <c r="G12" s="52"/>
      <c r="H12" s="50"/>
    </row>
    <row r="13" spans="1:8">
      <c r="F13" s="50"/>
      <c r="G13" s="50"/>
      <c r="H13" s="50"/>
    </row>
    <row r="14" spans="1:8" ht="16.2" thickBot="1">
      <c r="A14" s="199" t="s">
        <v>78</v>
      </c>
      <c r="B14" s="199"/>
      <c r="C14" s="198" t="s">
        <v>89</v>
      </c>
      <c r="D14" s="198"/>
      <c r="F14" s="51"/>
      <c r="G14" s="51"/>
      <c r="H14" s="50"/>
    </row>
    <row r="15" spans="1:8" ht="15.6">
      <c r="A15" s="42" t="s">
        <v>75</v>
      </c>
      <c r="B15" s="42" t="s">
        <v>76</v>
      </c>
      <c r="C15" s="41" t="s">
        <v>80</v>
      </c>
      <c r="D15" s="41" t="s">
        <v>79</v>
      </c>
      <c r="F15" s="200" t="s">
        <v>77</v>
      </c>
      <c r="G15" s="200"/>
    </row>
    <row r="16" spans="1:8" ht="13.8" thickBot="1">
      <c r="A16" s="43">
        <f>A7*1.15</f>
        <v>11.672499999999999</v>
      </c>
      <c r="B16" s="44">
        <f>B7</f>
        <v>26.979999999999997</v>
      </c>
      <c r="C16" s="40">
        <f>F20</f>
        <v>7</v>
      </c>
      <c r="D16" s="40">
        <f>G20</f>
        <v>26.986000000000001</v>
      </c>
      <c r="F16" s="197">
        <v>0.01</v>
      </c>
      <c r="G16" s="197"/>
    </row>
    <row r="17" spans="1:30" ht="15.6">
      <c r="F17" s="48" t="s">
        <v>80</v>
      </c>
      <c r="G17" s="48" t="s">
        <v>79</v>
      </c>
    </row>
    <row r="18" spans="1:30">
      <c r="F18" s="44">
        <v>7</v>
      </c>
      <c r="G18" s="44">
        <v>26.986000000000001</v>
      </c>
      <c r="H18" s="41" t="s">
        <v>94</v>
      </c>
    </row>
    <row r="19" spans="1:30">
      <c r="F19" s="44">
        <v>0</v>
      </c>
      <c r="G19" s="44">
        <v>0</v>
      </c>
    </row>
    <row r="20" spans="1:30">
      <c r="F20" s="44">
        <f>F19*F16+F18</f>
        <v>7</v>
      </c>
      <c r="G20" s="44">
        <f>G19*F16+G18</f>
        <v>26.986000000000001</v>
      </c>
      <c r="AB20" s="35" t="s">
        <v>75</v>
      </c>
      <c r="AC20" s="35" t="s">
        <v>83</v>
      </c>
      <c r="AD20" s="35" t="s">
        <v>84</v>
      </c>
    </row>
    <row r="21" spans="1:30">
      <c r="F21" s="52"/>
      <c r="G21" s="52"/>
      <c r="AB21" s="35">
        <v>0</v>
      </c>
      <c r="AC21" s="35">
        <f t="shared" ref="AC21:AC35" si="0">B$28</f>
        <v>26.984566666666666</v>
      </c>
      <c r="AD21" s="35">
        <f t="shared" ref="AD21:AD35" si="1">D$28</f>
        <v>26.991733333333332</v>
      </c>
    </row>
    <row r="22" spans="1:30">
      <c r="F22" s="50"/>
      <c r="G22" s="50"/>
      <c r="AB22" s="35">
        <v>1</v>
      </c>
      <c r="AC22" s="35">
        <f t="shared" si="0"/>
        <v>26.984566666666666</v>
      </c>
      <c r="AD22" s="35">
        <f t="shared" si="1"/>
        <v>26.991733333333332</v>
      </c>
    </row>
    <row r="23" spans="1:30" ht="13.2" customHeight="1">
      <c r="A23" s="189" t="s">
        <v>87</v>
      </c>
      <c r="B23" s="189"/>
      <c r="C23" s="189"/>
      <c r="D23" s="189"/>
      <c r="F23" s="53"/>
      <c r="G23" s="53"/>
      <c r="AB23" s="35">
        <v>2</v>
      </c>
      <c r="AC23" s="35">
        <f t="shared" si="0"/>
        <v>26.984566666666666</v>
      </c>
      <c r="AD23" s="35">
        <f t="shared" si="1"/>
        <v>26.991733333333332</v>
      </c>
    </row>
    <row r="24" spans="1:30" ht="13.2" customHeight="1">
      <c r="A24" s="189"/>
      <c r="B24" s="189"/>
      <c r="C24" s="189"/>
      <c r="D24" s="189"/>
      <c r="F24" s="201" t="s">
        <v>77</v>
      </c>
      <c r="G24" s="201"/>
      <c r="AB24" s="35">
        <v>3</v>
      </c>
      <c r="AC24" s="35">
        <f t="shared" si="0"/>
        <v>26.984566666666666</v>
      </c>
      <c r="AD24" s="35">
        <f t="shared" si="1"/>
        <v>26.991733333333332</v>
      </c>
    </row>
    <row r="25" spans="1:30" ht="13.8" thickBot="1">
      <c r="F25" s="197">
        <v>0.01</v>
      </c>
      <c r="G25" s="197"/>
      <c r="AB25" s="35">
        <v>4</v>
      </c>
      <c r="AC25" s="35">
        <f t="shared" si="0"/>
        <v>26.984566666666666</v>
      </c>
      <c r="AD25" s="35">
        <f t="shared" si="1"/>
        <v>26.991733333333332</v>
      </c>
    </row>
    <row r="26" spans="1:30" ht="15.6">
      <c r="A26" s="198" t="s">
        <v>90</v>
      </c>
      <c r="B26" s="198"/>
      <c r="C26" s="198" t="s">
        <v>91</v>
      </c>
      <c r="D26" s="198"/>
      <c r="F26" s="48" t="s">
        <v>93</v>
      </c>
      <c r="G26" s="48" t="s">
        <v>92</v>
      </c>
      <c r="AB26" s="35">
        <v>5</v>
      </c>
      <c r="AC26" s="35">
        <f t="shared" si="0"/>
        <v>26.984566666666666</v>
      </c>
      <c r="AD26" s="35">
        <f t="shared" si="1"/>
        <v>26.991733333333332</v>
      </c>
    </row>
    <row r="27" spans="1:30" ht="15.6">
      <c r="A27" s="41" t="s">
        <v>93</v>
      </c>
      <c r="B27" s="41" t="s">
        <v>81</v>
      </c>
      <c r="C27" s="41" t="s">
        <v>92</v>
      </c>
      <c r="D27" s="41" t="s">
        <v>82</v>
      </c>
      <c r="F27" s="44">
        <v>6.5</v>
      </c>
      <c r="G27" s="44">
        <v>3.2</v>
      </c>
      <c r="H27" s="41" t="s">
        <v>94</v>
      </c>
      <c r="AB27" s="35">
        <v>6</v>
      </c>
      <c r="AC27" s="35">
        <f t="shared" si="0"/>
        <v>26.984566666666666</v>
      </c>
      <c r="AD27" s="35">
        <f t="shared" si="1"/>
        <v>26.991733333333332</v>
      </c>
    </row>
    <row r="28" spans="1:30">
      <c r="A28" s="40">
        <f>F29</f>
        <v>9.67</v>
      </c>
      <c r="B28" s="40">
        <f>D16+(1/9)*(D16-B6)</f>
        <v>26.984566666666666</v>
      </c>
      <c r="C28" s="40">
        <f>G29</f>
        <v>3.23</v>
      </c>
      <c r="D28" s="40">
        <f>B28-(5/9)*(D16-B6)</f>
        <v>26.991733333333332</v>
      </c>
      <c r="F28" s="44">
        <v>317</v>
      </c>
      <c r="G28" s="44">
        <v>3</v>
      </c>
      <c r="J28" s="194" t="s">
        <v>88</v>
      </c>
      <c r="K28" s="194"/>
      <c r="L28" s="194"/>
      <c r="M28" s="194"/>
      <c r="N28" s="194"/>
      <c r="O28" s="194"/>
      <c r="P28" s="194"/>
      <c r="AB28" s="35">
        <v>7</v>
      </c>
      <c r="AC28" s="35">
        <f t="shared" si="0"/>
        <v>26.984566666666666</v>
      </c>
      <c r="AD28" s="35">
        <f t="shared" si="1"/>
        <v>26.991733333333332</v>
      </c>
    </row>
    <row r="29" spans="1:30">
      <c r="F29" s="44">
        <f>F28*F25+F27</f>
        <v>9.67</v>
      </c>
      <c r="G29" s="44">
        <f>G28*F25+G27</f>
        <v>3.23</v>
      </c>
      <c r="J29" s="194"/>
      <c r="K29" s="194"/>
      <c r="L29" s="194"/>
      <c r="M29" s="194"/>
      <c r="N29" s="194"/>
      <c r="O29" s="194"/>
      <c r="P29" s="194"/>
      <c r="AB29" s="35">
        <v>8</v>
      </c>
      <c r="AC29" s="35">
        <f t="shared" si="0"/>
        <v>26.984566666666666</v>
      </c>
      <c r="AD29" s="35">
        <f t="shared" si="1"/>
        <v>26.991733333333332</v>
      </c>
    </row>
    <row r="30" spans="1:30">
      <c r="J30" s="194"/>
      <c r="K30" s="194"/>
      <c r="L30" s="194"/>
      <c r="M30" s="194"/>
      <c r="N30" s="194"/>
      <c r="O30" s="194"/>
      <c r="P30" s="194"/>
      <c r="AB30" s="35">
        <v>9</v>
      </c>
      <c r="AC30" s="35">
        <f t="shared" si="0"/>
        <v>26.984566666666666</v>
      </c>
      <c r="AD30" s="35">
        <f t="shared" si="1"/>
        <v>26.991733333333332</v>
      </c>
    </row>
    <row r="31" spans="1:30">
      <c r="B31" s="35">
        <v>22</v>
      </c>
      <c r="D31" s="35">
        <v>3</v>
      </c>
      <c r="J31" s="194"/>
      <c r="K31" s="194"/>
      <c r="L31" s="194"/>
      <c r="M31" s="194"/>
      <c r="N31" s="194"/>
      <c r="O31" s="194"/>
      <c r="P31" s="194"/>
      <c r="AB31" s="35">
        <v>10</v>
      </c>
      <c r="AC31" s="35">
        <f t="shared" si="0"/>
        <v>26.984566666666666</v>
      </c>
      <c r="AD31" s="35">
        <f t="shared" si="1"/>
        <v>26.991733333333332</v>
      </c>
    </row>
    <row r="32" spans="1:30">
      <c r="J32" s="194"/>
      <c r="K32" s="194"/>
      <c r="L32" s="194"/>
      <c r="M32" s="194"/>
      <c r="N32" s="194"/>
      <c r="O32" s="194"/>
      <c r="P32" s="194"/>
      <c r="AB32" s="35">
        <v>11</v>
      </c>
      <c r="AC32" s="35">
        <f t="shared" si="0"/>
        <v>26.984566666666666</v>
      </c>
      <c r="AD32" s="35">
        <f t="shared" si="1"/>
        <v>26.991733333333332</v>
      </c>
    </row>
    <row r="33" spans="28:30">
      <c r="AB33" s="35">
        <v>12</v>
      </c>
      <c r="AC33" s="35">
        <f t="shared" si="0"/>
        <v>26.984566666666666</v>
      </c>
      <c r="AD33" s="35">
        <f t="shared" si="1"/>
        <v>26.991733333333332</v>
      </c>
    </row>
    <row r="34" spans="28:30">
      <c r="AB34" s="35">
        <v>13</v>
      </c>
      <c r="AC34" s="35">
        <f t="shared" si="0"/>
        <v>26.984566666666666</v>
      </c>
      <c r="AD34" s="35">
        <f t="shared" si="1"/>
        <v>26.991733333333332</v>
      </c>
    </row>
    <row r="35" spans="28:30">
      <c r="AB35" s="35">
        <v>14</v>
      </c>
      <c r="AC35" s="35">
        <f t="shared" si="0"/>
        <v>26.984566666666666</v>
      </c>
      <c r="AD35" s="35">
        <f t="shared" si="1"/>
        <v>26.991733333333332</v>
      </c>
    </row>
  </sheetData>
  <mergeCells count="16">
    <mergeCell ref="A11:D12"/>
    <mergeCell ref="A1:D2"/>
    <mergeCell ref="F1:G1"/>
    <mergeCell ref="F2:G2"/>
    <mergeCell ref="F7:G7"/>
    <mergeCell ref="F8:G8"/>
    <mergeCell ref="F25:G25"/>
    <mergeCell ref="A26:B26"/>
    <mergeCell ref="C26:D26"/>
    <mergeCell ref="J28:P32"/>
    <mergeCell ref="A14:B14"/>
    <mergeCell ref="C14:D14"/>
    <mergeCell ref="F15:G15"/>
    <mergeCell ref="F16:G16"/>
    <mergeCell ref="A23:D24"/>
    <mergeCell ref="F24:G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3313" r:id="rId3" name="Scroll Bar 1">
              <controlPr defaultSize="0" autoPict="0">
                <anchor moveWithCells="1">
                  <from>
                    <xdr:col>1</xdr:col>
                    <xdr:colOff>22860</xdr:colOff>
                    <xdr:row>7</xdr:row>
                    <xdr:rowOff>76200</xdr:rowOff>
                  </from>
                  <to>
                    <xdr:col>1</xdr:col>
                    <xdr:colOff>586740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314" r:id="rId4" name="Scroll Bar 2">
              <controlPr defaultSize="0" autoPict="0">
                <anchor moveWithCells="1">
                  <from>
                    <xdr:col>0</xdr:col>
                    <xdr:colOff>45720</xdr:colOff>
                    <xdr:row>7</xdr:row>
                    <xdr:rowOff>76200</xdr:rowOff>
                  </from>
                  <to>
                    <xdr:col>0</xdr:col>
                    <xdr:colOff>563880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315" r:id="rId5" name="Scroll Bar 3">
              <controlPr defaultSize="0" autoPict="0">
                <anchor moveWithCells="1">
                  <from>
                    <xdr:col>3</xdr:col>
                    <xdr:colOff>53340</xdr:colOff>
                    <xdr:row>16</xdr:row>
                    <xdr:rowOff>45720</xdr:rowOff>
                  </from>
                  <to>
                    <xdr:col>3</xdr:col>
                    <xdr:colOff>563880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316" r:id="rId6" name="Scroll Bar 4">
              <controlPr defaultSize="0" autoPict="0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2</xdr:col>
                    <xdr:colOff>586740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317" r:id="rId7" name="Scroll Bar 5">
              <controlPr defaultSize="0" autoPict="0">
                <anchor moveWithCells="1">
                  <from>
                    <xdr:col>2</xdr:col>
                    <xdr:colOff>38100</xdr:colOff>
                    <xdr:row>28</xdr:row>
                    <xdr:rowOff>22860</xdr:rowOff>
                  </from>
                  <to>
                    <xdr:col>2</xdr:col>
                    <xdr:colOff>586740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318" r:id="rId8" name="Scroll Bar 6">
              <controlPr defaultSize="0" autoPict="0">
                <anchor moveWithCells="1">
                  <from>
                    <xdr:col>0</xdr:col>
                    <xdr:colOff>30480</xdr:colOff>
                    <xdr:row>28</xdr:row>
                    <xdr:rowOff>30480</xdr:rowOff>
                  </from>
                  <to>
                    <xdr:col>1</xdr:col>
                    <xdr:colOff>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319" r:id="rId9" name="Scroll Bar 7">
              <controlPr defaultSize="0" autoPict="0">
                <anchor moveWithCells="1">
                  <from>
                    <xdr:col>1</xdr:col>
                    <xdr:colOff>45720</xdr:colOff>
                    <xdr:row>3</xdr:row>
                    <xdr:rowOff>45720</xdr:rowOff>
                  </from>
                  <to>
                    <xdr:col>1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3320" r:id="rId10" name="Scroll Bar 8">
              <controlPr defaultSize="0" autoPict="0">
                <anchor moveWithCells="1">
                  <from>
                    <xdr:col>0</xdr:col>
                    <xdr:colOff>38100</xdr:colOff>
                    <xdr:row>3</xdr:row>
                    <xdr:rowOff>45720</xdr:rowOff>
                  </from>
                  <to>
                    <xdr:col>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D35"/>
  <sheetViews>
    <sheetView workbookViewId="0">
      <selection activeCell="I28" sqref="I28"/>
    </sheetView>
  </sheetViews>
  <sheetFormatPr defaultRowHeight="13.2"/>
  <cols>
    <col min="1" max="27" width="8.88671875" style="40"/>
    <col min="28" max="30" width="8.88671875" style="40" customWidth="1"/>
    <col min="31" max="16384" width="8.88671875" style="40"/>
  </cols>
  <sheetData>
    <row r="1" spans="1:8" ht="17.399999999999999" customHeight="1">
      <c r="A1" s="189" t="s">
        <v>85</v>
      </c>
      <c r="B1" s="189"/>
      <c r="C1" s="189"/>
      <c r="D1" s="189"/>
      <c r="F1" s="201" t="s">
        <v>77</v>
      </c>
      <c r="G1" s="202"/>
    </row>
    <row r="2" spans="1:8" ht="13.2" customHeight="1" thickBot="1">
      <c r="A2" s="189"/>
      <c r="B2" s="189"/>
      <c r="C2" s="189"/>
      <c r="D2" s="189"/>
      <c r="F2" s="197">
        <v>0.01</v>
      </c>
      <c r="G2" s="197"/>
    </row>
    <row r="3" spans="1:8" ht="13.2" customHeight="1">
      <c r="A3" s="41" t="s">
        <v>75</v>
      </c>
      <c r="B3" s="41" t="s">
        <v>76</v>
      </c>
      <c r="F3" s="47">
        <v>0</v>
      </c>
      <c r="G3" s="47">
        <v>26.908899999999999</v>
      </c>
      <c r="H3" s="41" t="s">
        <v>94</v>
      </c>
    </row>
    <row r="4" spans="1:8">
      <c r="F4" s="44">
        <v>0</v>
      </c>
      <c r="G4" s="44">
        <v>9</v>
      </c>
    </row>
    <row r="5" spans="1:8">
      <c r="F5" s="44">
        <f>F4*F2+F3</f>
        <v>0</v>
      </c>
      <c r="G5" s="44">
        <f>G4*F2+G3</f>
        <v>26.998899999999999</v>
      </c>
    </row>
    <row r="6" spans="1:8">
      <c r="A6" s="40">
        <f>F5</f>
        <v>0</v>
      </c>
      <c r="B6" s="40">
        <f>G5</f>
        <v>26.998899999999999</v>
      </c>
      <c r="F6" s="54"/>
      <c r="G6" s="54"/>
    </row>
    <row r="7" spans="1:8">
      <c r="A7" s="40">
        <f>F11</f>
        <v>10.15</v>
      </c>
      <c r="B7" s="40">
        <f>G11</f>
        <v>26.979999999999997</v>
      </c>
      <c r="F7" s="201" t="s">
        <v>77</v>
      </c>
      <c r="G7" s="202"/>
    </row>
    <row r="8" spans="1:8" ht="13.8" thickBot="1">
      <c r="F8" s="197">
        <v>0.01</v>
      </c>
      <c r="G8" s="197"/>
    </row>
    <row r="9" spans="1:8">
      <c r="F9" s="47">
        <v>4</v>
      </c>
      <c r="G9" s="47">
        <v>26.9</v>
      </c>
      <c r="H9" s="41" t="s">
        <v>94</v>
      </c>
    </row>
    <row r="10" spans="1:8">
      <c r="F10" s="44">
        <v>615</v>
      </c>
      <c r="G10" s="44">
        <v>8</v>
      </c>
    </row>
    <row r="11" spans="1:8" ht="13.2" customHeight="1">
      <c r="A11" s="189" t="s">
        <v>86</v>
      </c>
      <c r="B11" s="189"/>
      <c r="C11" s="189"/>
      <c r="D11" s="189"/>
      <c r="F11" s="44">
        <f>F10*F8+F9</f>
        <v>10.15</v>
      </c>
      <c r="G11" s="44">
        <f>G10*F8+G9</f>
        <v>26.979999999999997</v>
      </c>
    </row>
    <row r="12" spans="1:8" ht="13.2" customHeight="1">
      <c r="A12" s="189"/>
      <c r="B12" s="189"/>
      <c r="C12" s="189"/>
      <c r="D12" s="189"/>
      <c r="F12" s="52"/>
      <c r="G12" s="52"/>
      <c r="H12" s="50"/>
    </row>
    <row r="13" spans="1:8">
      <c r="F13" s="50"/>
      <c r="G13" s="50"/>
      <c r="H13" s="50"/>
    </row>
    <row r="14" spans="1:8" ht="16.2" thickBot="1">
      <c r="A14" s="199" t="s">
        <v>78</v>
      </c>
      <c r="B14" s="199"/>
      <c r="C14" s="198" t="s">
        <v>89</v>
      </c>
      <c r="D14" s="198"/>
      <c r="F14" s="51"/>
      <c r="G14" s="51"/>
      <c r="H14" s="50"/>
    </row>
    <row r="15" spans="1:8" ht="15.6">
      <c r="A15" s="42" t="s">
        <v>75</v>
      </c>
      <c r="B15" s="42" t="s">
        <v>76</v>
      </c>
      <c r="C15" s="41" t="s">
        <v>80</v>
      </c>
      <c r="D15" s="41" t="s">
        <v>79</v>
      </c>
      <c r="F15" s="200" t="s">
        <v>77</v>
      </c>
      <c r="G15" s="200"/>
    </row>
    <row r="16" spans="1:8" ht="13.8" thickBot="1">
      <c r="A16" s="43">
        <f>A7*1.15</f>
        <v>11.672499999999999</v>
      </c>
      <c r="B16" s="44">
        <f>B7</f>
        <v>26.979999999999997</v>
      </c>
      <c r="C16" s="40">
        <f>F20</f>
        <v>7</v>
      </c>
      <c r="D16" s="40">
        <f>G20</f>
        <v>26.986000000000001</v>
      </c>
      <c r="F16" s="197">
        <v>0.01</v>
      </c>
      <c r="G16" s="197"/>
    </row>
    <row r="17" spans="1:30" ht="15.6">
      <c r="F17" s="48" t="s">
        <v>80</v>
      </c>
      <c r="G17" s="48" t="s">
        <v>79</v>
      </c>
    </row>
    <row r="18" spans="1:30">
      <c r="F18" s="44">
        <v>7</v>
      </c>
      <c r="G18" s="44">
        <v>26.986000000000001</v>
      </c>
      <c r="H18" s="41" t="s">
        <v>94</v>
      </c>
    </row>
    <row r="19" spans="1:30">
      <c r="F19" s="44">
        <v>0</v>
      </c>
      <c r="G19" s="44">
        <v>0</v>
      </c>
    </row>
    <row r="20" spans="1:30">
      <c r="F20" s="44">
        <f>F19*F16+F18</f>
        <v>7</v>
      </c>
      <c r="G20" s="44">
        <f>G19*F16+G18</f>
        <v>26.986000000000001</v>
      </c>
      <c r="AB20" s="35" t="s">
        <v>75</v>
      </c>
      <c r="AC20" s="35" t="s">
        <v>83</v>
      </c>
      <c r="AD20" s="35" t="s">
        <v>84</v>
      </c>
    </row>
    <row r="21" spans="1:30">
      <c r="F21" s="52"/>
      <c r="G21" s="52"/>
      <c r="AB21" s="35">
        <v>0</v>
      </c>
      <c r="AC21" s="35">
        <f t="shared" ref="AC21:AC35" si="0">B$28</f>
        <v>26.984566666666666</v>
      </c>
      <c r="AD21" s="35">
        <f t="shared" ref="AD21:AD35" si="1">D$28</f>
        <v>26.991733333333332</v>
      </c>
    </row>
    <row r="22" spans="1:30">
      <c r="F22" s="50"/>
      <c r="G22" s="50"/>
      <c r="AB22" s="35">
        <v>1</v>
      </c>
      <c r="AC22" s="35">
        <f t="shared" si="0"/>
        <v>26.984566666666666</v>
      </c>
      <c r="AD22" s="35">
        <f t="shared" si="1"/>
        <v>26.991733333333332</v>
      </c>
    </row>
    <row r="23" spans="1:30" ht="13.2" customHeight="1">
      <c r="A23" s="189" t="s">
        <v>87</v>
      </c>
      <c r="B23" s="189"/>
      <c r="C23" s="189"/>
      <c r="D23" s="189"/>
      <c r="F23" s="53"/>
      <c r="G23" s="53"/>
      <c r="AB23" s="35">
        <v>2</v>
      </c>
      <c r="AC23" s="35">
        <f t="shared" si="0"/>
        <v>26.984566666666666</v>
      </c>
      <c r="AD23" s="35">
        <f t="shared" si="1"/>
        <v>26.991733333333332</v>
      </c>
    </row>
    <row r="24" spans="1:30" ht="13.2" customHeight="1">
      <c r="A24" s="189"/>
      <c r="B24" s="189"/>
      <c r="C24" s="189"/>
      <c r="D24" s="189"/>
      <c r="F24" s="201" t="s">
        <v>77</v>
      </c>
      <c r="G24" s="201"/>
      <c r="AB24" s="35">
        <v>3</v>
      </c>
      <c r="AC24" s="35">
        <f t="shared" si="0"/>
        <v>26.984566666666666</v>
      </c>
      <c r="AD24" s="35">
        <f t="shared" si="1"/>
        <v>26.991733333333332</v>
      </c>
    </row>
    <row r="25" spans="1:30" ht="13.8" thickBot="1">
      <c r="F25" s="197">
        <v>0.01</v>
      </c>
      <c r="G25" s="197"/>
      <c r="AB25" s="35">
        <v>4</v>
      </c>
      <c r="AC25" s="35">
        <f t="shared" si="0"/>
        <v>26.984566666666666</v>
      </c>
      <c r="AD25" s="35">
        <f t="shared" si="1"/>
        <v>26.991733333333332</v>
      </c>
    </row>
    <row r="26" spans="1:30" ht="15.6">
      <c r="A26" s="198" t="s">
        <v>90</v>
      </c>
      <c r="B26" s="198"/>
      <c r="C26" s="198" t="s">
        <v>91</v>
      </c>
      <c r="D26" s="198"/>
      <c r="F26" s="48" t="s">
        <v>93</v>
      </c>
      <c r="G26" s="48" t="s">
        <v>92</v>
      </c>
      <c r="AB26" s="35">
        <v>5</v>
      </c>
      <c r="AC26" s="35">
        <f t="shared" si="0"/>
        <v>26.984566666666666</v>
      </c>
      <c r="AD26" s="35">
        <f t="shared" si="1"/>
        <v>26.991733333333332</v>
      </c>
    </row>
    <row r="27" spans="1:30" ht="15.6">
      <c r="A27" s="41" t="s">
        <v>93</v>
      </c>
      <c r="B27" s="41" t="s">
        <v>81</v>
      </c>
      <c r="C27" s="41" t="s">
        <v>92</v>
      </c>
      <c r="D27" s="41" t="s">
        <v>82</v>
      </c>
      <c r="F27" s="44">
        <v>6.5</v>
      </c>
      <c r="G27" s="44">
        <v>3.2</v>
      </c>
      <c r="H27" s="41" t="s">
        <v>94</v>
      </c>
      <c r="AB27" s="35">
        <v>6</v>
      </c>
      <c r="AC27" s="35">
        <f t="shared" si="0"/>
        <v>26.984566666666666</v>
      </c>
      <c r="AD27" s="35">
        <f t="shared" si="1"/>
        <v>26.991733333333332</v>
      </c>
    </row>
    <row r="28" spans="1:30">
      <c r="A28" s="40">
        <f>F29</f>
        <v>9.67</v>
      </c>
      <c r="B28" s="40">
        <f>D16+(1/9)*(D16-B6)</f>
        <v>26.984566666666666</v>
      </c>
      <c r="C28" s="40">
        <f>G29</f>
        <v>3.23</v>
      </c>
      <c r="D28" s="40">
        <f>B28-(5/9)*(D16-B6)</f>
        <v>26.991733333333332</v>
      </c>
      <c r="F28" s="44">
        <v>317</v>
      </c>
      <c r="G28" s="44">
        <v>3</v>
      </c>
      <c r="J28" s="194" t="s">
        <v>88</v>
      </c>
      <c r="K28" s="194"/>
      <c r="L28" s="194"/>
      <c r="M28" s="194"/>
      <c r="N28" s="194"/>
      <c r="O28" s="194"/>
      <c r="P28" s="194"/>
      <c r="AB28" s="35">
        <v>7</v>
      </c>
      <c r="AC28" s="35">
        <f t="shared" si="0"/>
        <v>26.984566666666666</v>
      </c>
      <c r="AD28" s="35">
        <f t="shared" si="1"/>
        <v>26.991733333333332</v>
      </c>
    </row>
    <row r="29" spans="1:30">
      <c r="F29" s="44">
        <f>F28*F25+F27</f>
        <v>9.67</v>
      </c>
      <c r="G29" s="44">
        <f>G28*F25+G27</f>
        <v>3.23</v>
      </c>
      <c r="J29" s="194"/>
      <c r="K29" s="194"/>
      <c r="L29" s="194"/>
      <c r="M29" s="194"/>
      <c r="N29" s="194"/>
      <c r="O29" s="194"/>
      <c r="P29" s="194"/>
      <c r="AB29" s="35">
        <v>8</v>
      </c>
      <c r="AC29" s="35">
        <f t="shared" si="0"/>
        <v>26.984566666666666</v>
      </c>
      <c r="AD29" s="35">
        <f t="shared" si="1"/>
        <v>26.991733333333332</v>
      </c>
    </row>
    <row r="30" spans="1:30">
      <c r="J30" s="194"/>
      <c r="K30" s="194"/>
      <c r="L30" s="194"/>
      <c r="M30" s="194"/>
      <c r="N30" s="194"/>
      <c r="O30" s="194"/>
      <c r="P30" s="194"/>
      <c r="AB30" s="35">
        <v>9</v>
      </c>
      <c r="AC30" s="35">
        <f t="shared" si="0"/>
        <v>26.984566666666666</v>
      </c>
      <c r="AD30" s="35">
        <f t="shared" si="1"/>
        <v>26.991733333333332</v>
      </c>
    </row>
    <row r="31" spans="1:30">
      <c r="B31" s="35">
        <v>22</v>
      </c>
      <c r="D31" s="35">
        <v>3</v>
      </c>
      <c r="J31" s="194"/>
      <c r="K31" s="194"/>
      <c r="L31" s="194"/>
      <c r="M31" s="194"/>
      <c r="N31" s="194"/>
      <c r="O31" s="194"/>
      <c r="P31" s="194"/>
      <c r="AB31" s="35">
        <v>10</v>
      </c>
      <c r="AC31" s="35">
        <f t="shared" si="0"/>
        <v>26.984566666666666</v>
      </c>
      <c r="AD31" s="35">
        <f t="shared" si="1"/>
        <v>26.991733333333332</v>
      </c>
    </row>
    <row r="32" spans="1:30">
      <c r="J32" s="194"/>
      <c r="K32" s="194"/>
      <c r="L32" s="194"/>
      <c r="M32" s="194"/>
      <c r="N32" s="194"/>
      <c r="O32" s="194"/>
      <c r="P32" s="194"/>
      <c r="AB32" s="35">
        <v>11</v>
      </c>
      <c r="AC32" s="35">
        <f t="shared" si="0"/>
        <v>26.984566666666666</v>
      </c>
      <c r="AD32" s="35">
        <f t="shared" si="1"/>
        <v>26.991733333333332</v>
      </c>
    </row>
    <row r="33" spans="28:30">
      <c r="AB33" s="35">
        <v>12</v>
      </c>
      <c r="AC33" s="35">
        <f t="shared" si="0"/>
        <v>26.984566666666666</v>
      </c>
      <c r="AD33" s="35">
        <f t="shared" si="1"/>
        <v>26.991733333333332</v>
      </c>
    </row>
    <row r="34" spans="28:30">
      <c r="AB34" s="35">
        <v>13</v>
      </c>
      <c r="AC34" s="35">
        <f t="shared" si="0"/>
        <v>26.984566666666666</v>
      </c>
      <c r="AD34" s="35">
        <f t="shared" si="1"/>
        <v>26.991733333333332</v>
      </c>
    </row>
    <row r="35" spans="28:30">
      <c r="AB35" s="35">
        <v>14</v>
      </c>
      <c r="AC35" s="35">
        <f t="shared" si="0"/>
        <v>26.984566666666666</v>
      </c>
      <c r="AD35" s="35">
        <f t="shared" si="1"/>
        <v>26.991733333333332</v>
      </c>
    </row>
  </sheetData>
  <mergeCells count="16">
    <mergeCell ref="A11:D12"/>
    <mergeCell ref="A1:D2"/>
    <mergeCell ref="F1:G1"/>
    <mergeCell ref="F2:G2"/>
    <mergeCell ref="F7:G7"/>
    <mergeCell ref="F8:G8"/>
    <mergeCell ref="F25:G25"/>
    <mergeCell ref="A26:B26"/>
    <mergeCell ref="C26:D26"/>
    <mergeCell ref="J28:P32"/>
    <mergeCell ref="A14:B14"/>
    <mergeCell ref="C14:D14"/>
    <mergeCell ref="F15:G15"/>
    <mergeCell ref="F16:G16"/>
    <mergeCell ref="A23:D24"/>
    <mergeCell ref="F24:G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7409" r:id="rId3" name="Scroll Bar 1">
              <controlPr defaultSize="0" autoPict="0">
                <anchor moveWithCells="1">
                  <from>
                    <xdr:col>1</xdr:col>
                    <xdr:colOff>22860</xdr:colOff>
                    <xdr:row>7</xdr:row>
                    <xdr:rowOff>76200</xdr:rowOff>
                  </from>
                  <to>
                    <xdr:col>1</xdr:col>
                    <xdr:colOff>586740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0" r:id="rId4" name="Scroll Bar 2">
              <controlPr defaultSize="0" autoPict="0">
                <anchor moveWithCells="1">
                  <from>
                    <xdr:col>0</xdr:col>
                    <xdr:colOff>45720</xdr:colOff>
                    <xdr:row>7</xdr:row>
                    <xdr:rowOff>76200</xdr:rowOff>
                  </from>
                  <to>
                    <xdr:col>0</xdr:col>
                    <xdr:colOff>563880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1" r:id="rId5" name="Scroll Bar 3">
              <controlPr defaultSize="0" autoPict="0">
                <anchor moveWithCells="1">
                  <from>
                    <xdr:col>3</xdr:col>
                    <xdr:colOff>53340</xdr:colOff>
                    <xdr:row>16</xdr:row>
                    <xdr:rowOff>45720</xdr:rowOff>
                  </from>
                  <to>
                    <xdr:col>3</xdr:col>
                    <xdr:colOff>563880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2" r:id="rId6" name="Scroll Bar 4">
              <controlPr defaultSize="0" autoPict="0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2</xdr:col>
                    <xdr:colOff>586740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3" r:id="rId7" name="Scroll Bar 5">
              <controlPr defaultSize="0" autoPict="0">
                <anchor moveWithCells="1">
                  <from>
                    <xdr:col>2</xdr:col>
                    <xdr:colOff>38100</xdr:colOff>
                    <xdr:row>28</xdr:row>
                    <xdr:rowOff>22860</xdr:rowOff>
                  </from>
                  <to>
                    <xdr:col>2</xdr:col>
                    <xdr:colOff>586740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4" r:id="rId8" name="Scroll Bar 6">
              <controlPr defaultSize="0" autoPict="0">
                <anchor moveWithCells="1">
                  <from>
                    <xdr:col>0</xdr:col>
                    <xdr:colOff>30480</xdr:colOff>
                    <xdr:row>28</xdr:row>
                    <xdr:rowOff>30480</xdr:rowOff>
                  </from>
                  <to>
                    <xdr:col>1</xdr:col>
                    <xdr:colOff>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5" r:id="rId9" name="Scroll Bar 7">
              <controlPr defaultSize="0" autoPict="0">
                <anchor moveWithCells="1">
                  <from>
                    <xdr:col>1</xdr:col>
                    <xdr:colOff>45720</xdr:colOff>
                    <xdr:row>3</xdr:row>
                    <xdr:rowOff>45720</xdr:rowOff>
                  </from>
                  <to>
                    <xdr:col>1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6" r:id="rId10" name="Scroll Bar 8">
              <controlPr defaultSize="0" autoPict="0">
                <anchor moveWithCells="1">
                  <from>
                    <xdr:col>0</xdr:col>
                    <xdr:colOff>38100</xdr:colOff>
                    <xdr:row>3</xdr:row>
                    <xdr:rowOff>45720</xdr:rowOff>
                  </from>
                  <to>
                    <xdr:col>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data</vt:lpstr>
      <vt:lpstr>محاسبات</vt:lpstr>
      <vt:lpstr>chart1</vt:lpstr>
      <vt:lpstr>chart2</vt:lpstr>
      <vt:lpstr>chart3</vt:lpstr>
      <vt:lpstr>chart4</vt:lpstr>
      <vt:lpstr>chart5</vt:lpstr>
      <vt:lpstr>chart6</vt:lpstr>
      <vt:lpstr>chart7</vt:lpstr>
      <vt:lpstr>chart8</vt:lpstr>
      <vt:lpstr>chart9</vt:lpstr>
      <vt:lpstr>chart10</vt:lpstr>
      <vt:lpstr>chart11</vt:lpstr>
      <vt:lpstr>chart12</vt:lpstr>
      <vt:lpstr>chart13</vt:lpstr>
      <vt:lpstr>chart14</vt:lpstr>
      <vt:lpstr>chart15</vt:lpstr>
      <vt:lpstr>chart16</vt:lpstr>
    </vt:vector>
  </TitlesOfParts>
  <Company>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arvin</dc:creator>
  <cp:lastModifiedBy>hossain</cp:lastModifiedBy>
  <dcterms:created xsi:type="dcterms:W3CDTF">2009-01-17T08:13:47Z</dcterms:created>
  <dcterms:modified xsi:type="dcterms:W3CDTF">2024-07-31T19:35:47Z</dcterms:modified>
</cp:coreProperties>
</file>